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815" yWindow="135" windowWidth="25815" windowHeight="206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'Sheet1'!$B$2:$S$21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 indent="1"/>
    </xf>
    <xf numFmtId="16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zoomScale="90" zoomScaleNormal="90"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P6" sqref="P6"/>
    </sheetView>
  </sheetViews>
  <sheetFormatPr baseColWidth="8" defaultRowHeight="15"/>
  <cols>
    <col width="3.7109375" customWidth="1" min="1" max="1"/>
    <col width="16.42578125" bestFit="1" customWidth="1" min="2" max="2"/>
    <col width="41.85546875" bestFit="1" customWidth="1" min="3" max="3"/>
    <col width="14.85546875" customWidth="1" min="4" max="4"/>
    <col width="20.28515625" customWidth="1" min="5" max="5"/>
    <col width="17.42578125" customWidth="1" min="6" max="6"/>
    <col width="23.42578125" customWidth="1" min="7" max="7"/>
    <col width="54.7109375" customWidth="1" min="8" max="8"/>
    <col width="34.5703125" customWidth="1" min="9" max="9"/>
    <col width="34.7109375" customWidth="1" min="10" max="10"/>
    <col width="13" customWidth="1" min="11" max="11"/>
    <col width="15.5703125" customWidth="1" min="12" max="12"/>
    <col width="11.140625" customWidth="1" min="13" max="13"/>
    <col width="16.140625" customWidth="1" min="14" max="14"/>
    <col width="14.42578125" customWidth="1" min="15" max="15"/>
    <col width="26.140625" customWidth="1" min="16" max="16"/>
    <col width="17.85546875" customWidth="1" min="17" max="17"/>
    <col width="20.42578125" customWidth="1" min="18" max="18"/>
    <col width="21.140625" customWidth="1" min="19" max="19"/>
    <col width="61.85546875" bestFit="1" customWidth="1" min="20" max="20"/>
    <col width="43.7109375" customWidth="1" min="21" max="21"/>
  </cols>
  <sheetData>
    <row r="1"/>
    <row r="2">
      <c r="B2" s="2" t="inlineStr">
        <is>
          <t>BCW-SKU</t>
        </is>
      </c>
      <c r="C2" s="2" t="inlineStr">
        <is>
          <t>BCW-NAME</t>
        </is>
      </c>
      <c r="D2" s="2" t="inlineStr">
        <is>
          <t>UPC CODE</t>
        </is>
      </c>
      <c r="E2" s="2" t="inlineStr">
        <is>
          <t>MATERIAL</t>
        </is>
      </c>
      <c r="F2" s="2" t="inlineStr">
        <is>
          <t>MDM-SKU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INTERIOR DIMENSIONS (WxHxL)</t>
        </is>
      </c>
      <c r="J2" s="2" t="inlineStr">
        <is>
          <t>EXTERIOR DIMENSIONS (WxHxL)</t>
        </is>
      </c>
      <c r="K2" s="2" t="inlineStr">
        <is>
          <t>WEIGHT</t>
        </is>
      </c>
      <c r="L2" s="2" t="inlineStr">
        <is>
          <t>BCW PRICE</t>
        </is>
      </c>
      <c r="M2" s="2" t="inlineStr">
        <is>
          <t>MSRP</t>
        </is>
      </c>
      <c r="N2" s="2" t="inlineStr">
        <is>
          <t>MDM PRICE</t>
        </is>
      </c>
      <c r="O2" s="2" t="inlineStr">
        <is>
          <t>CASE UPC</t>
        </is>
      </c>
      <c r="P2" s="2" t="inlineStr">
        <is>
          <t>CASE CONFIGURATION</t>
        </is>
      </c>
      <c r="Q2" s="2" t="inlineStr">
        <is>
          <t>CASE WEIGHT</t>
        </is>
      </c>
      <c r="R2" s="2" t="inlineStr">
        <is>
          <t>BCW CASE PRICE</t>
        </is>
      </c>
      <c r="S2" s="2" t="inlineStr">
        <is>
          <t>MDM CASE PRICE</t>
        </is>
      </c>
      <c r="T2" s="2" t="inlineStr">
        <is>
          <t>URL</t>
        </is>
      </c>
      <c r="U2" s="2" t="inlineStr">
        <is>
          <t>NOTES</t>
        </is>
      </c>
    </row>
    <row r="3" ht="60" customHeight="1">
      <c r="B3" s="6" t="inlineStr">
        <is>
          <t>1-CBB-SHORT-YLW</t>
        </is>
      </c>
      <c r="C3" s="6" t="inlineStr">
        <is>
          <t>Short Comic Book Bin - Yellow</t>
        </is>
      </c>
      <c r="D3" s="7" t="n">
        <v>722626040245</v>
      </c>
      <c r="E3" s="6" t="inlineStr">
        <is>
          <t>Plastic: Polypropylene</t>
        </is>
      </c>
      <c r="F3" s="6" t="inlineStr">
        <is>
          <t>MDM-BIN-SHT-YLW</t>
        </is>
      </c>
      <c r="G3" s="6" t="inlineStr">
        <is>
          <t>Comic Book Bin</t>
        </is>
      </c>
      <c r="H3" s="8" t="inlineStr">
        <is>
          <t>Heavy duty, acid-free plastic
Stack up to six high
Includes one Yellow Comic Bin Partition
Count: 1</t>
        </is>
      </c>
      <c r="I3" s="6" t="inlineStr">
        <is>
          <t>7 ⅝" x 11 ¼" x 15 ½"</t>
        </is>
      </c>
      <c r="J3" s="6" t="inlineStr">
        <is>
          <t>8 ¾" x 12 ¼" x 16 ½"</t>
        </is>
      </c>
      <c r="K3" s="6" t="inlineStr">
        <is>
          <t>3.96 lbs</t>
        </is>
      </c>
      <c r="L3" s="9" t="n">
        <v>20.21</v>
      </c>
      <c r="M3" s="9" t="n">
        <v>39.99</v>
      </c>
      <c r="N3" s="9" t="n">
        <v>34.99</v>
      </c>
      <c r="O3" s="7" t="n">
        <v>722626040252</v>
      </c>
      <c r="P3" s="6" t="inlineStr">
        <is>
          <t>5 EACH/CASE</t>
        </is>
      </c>
      <c r="Q3" s="6" t="inlineStr">
        <is>
          <t>19.8 lbs</t>
        </is>
      </c>
      <c r="R3" s="10">
        <f>17.96*5</f>
        <v/>
      </c>
      <c r="S3" s="11" t="n"/>
      <c r="T3" s="13" t="inlineStr">
        <is>
          <t>https://www.bcwsupplies.com/short-comic-book-bin-yellow</t>
        </is>
      </c>
      <c r="U3" s="13" t="inlineStr">
        <is>
          <t>12.5% under MSRP to compete with marketplace pricing for bins and drive conversion. Ref: https://www.ebay.com/sch/i.html?_nkw=bcw+comic+storage+box&amp;_sop=12</t>
        </is>
      </c>
      <c r="V3" s="11" t="n"/>
      <c r="W3" s="11" t="n"/>
      <c r="X3" s="11" t="n"/>
      <c r="Y3" s="11" t="n"/>
      <c r="Z3" s="11" t="n"/>
    </row>
    <row r="4" ht="60" customHeight="1">
      <c r="B4" s="6" t="inlineStr">
        <is>
          <t>1-CBB-SHORT-RED</t>
        </is>
      </c>
      <c r="C4" s="6" t="inlineStr">
        <is>
          <t>Short Comic Book Bin - Red</t>
        </is>
      </c>
      <c r="D4" s="7" t="n">
        <v>722626018497</v>
      </c>
      <c r="E4" s="6" t="inlineStr">
        <is>
          <t>Plastic: Polypropylene</t>
        </is>
      </c>
      <c r="F4" s="6" t="inlineStr">
        <is>
          <t>MDM-BIN-SHT-RED</t>
        </is>
      </c>
      <c r="G4" s="6" t="inlineStr">
        <is>
          <t>Comic Book Bin</t>
        </is>
      </c>
      <c r="H4" s="8" t="inlineStr">
        <is>
          <t>Heavy duty, acid-free plastic
Stack up to six high
Includes one Red Comic Bin Partition
Count: 1</t>
        </is>
      </c>
      <c r="I4" s="6" t="inlineStr">
        <is>
          <t>7 ⅝" x 11 ¼" x 15 ½"</t>
        </is>
      </c>
      <c r="J4" s="6" t="inlineStr">
        <is>
          <t>8 ¾" x 12 ¼" x 16 ½"</t>
        </is>
      </c>
      <c r="K4" s="6" t="inlineStr">
        <is>
          <t>3.96 lbs</t>
        </is>
      </c>
      <c r="L4" s="9" t="n">
        <v>20.21</v>
      </c>
      <c r="M4" s="9" t="n">
        <v>39.99</v>
      </c>
      <c r="N4" s="9" t="n">
        <v>34.99</v>
      </c>
      <c r="O4" s="7" t="n">
        <v>722626018503</v>
      </c>
      <c r="P4" s="6" t="inlineStr">
        <is>
          <t>5 EACH/CASE</t>
        </is>
      </c>
      <c r="Q4" s="6" t="inlineStr">
        <is>
          <t>19.8 lbs</t>
        </is>
      </c>
      <c r="R4" s="10">
        <f>17.96*5</f>
        <v/>
      </c>
      <c r="S4" s="11" t="n"/>
      <c r="T4" s="13" t="inlineStr">
        <is>
          <t>https://www.bcwsupplies.com/short-comic-book-bin-red</t>
        </is>
      </c>
      <c r="U4" s="13" t="inlineStr">
        <is>
          <t>12.5% under MSRP to compete with marketplace pricing for bins and drive conversion. Ref: https://www.ebay.com/sch/i.html?_nkw=bcw+comic+storage+box&amp;_sop=12</t>
        </is>
      </c>
      <c r="V4" s="11" t="n"/>
      <c r="W4" s="11" t="n"/>
      <c r="X4" s="11" t="n"/>
      <c r="Y4" s="11" t="n"/>
      <c r="Z4" s="11" t="n"/>
    </row>
    <row r="5" ht="60" customHeight="1">
      <c r="B5" s="6" t="inlineStr">
        <is>
          <t>1-CBB-SHORT-BLU</t>
        </is>
      </c>
      <c r="C5" s="6" t="inlineStr">
        <is>
          <t>Short Comic Book Bin - Blue</t>
        </is>
      </c>
      <c r="D5" s="7" t="n">
        <v>722626016424</v>
      </c>
      <c r="E5" s="6" t="inlineStr">
        <is>
          <t>Plastic: Polypropylene</t>
        </is>
      </c>
      <c r="F5" s="6" t="inlineStr">
        <is>
          <t>MDM-BIN-SHT-BLU</t>
        </is>
      </c>
      <c r="G5" s="6" t="inlineStr">
        <is>
          <t>Comic Book Bin</t>
        </is>
      </c>
      <c r="H5" s="8" t="inlineStr">
        <is>
          <t>Heavy duty, acid-free plastic
Stack up to six high
Includes one Blue Comic Bin Partition
Count: 1</t>
        </is>
      </c>
      <c r="I5" s="6" t="inlineStr">
        <is>
          <t>8 ⅝" x 11 ¼" x 15 ½"</t>
        </is>
      </c>
      <c r="J5" s="6" t="inlineStr">
        <is>
          <t>9 ¾" x 12 ¼" x 16 ½"</t>
        </is>
      </c>
      <c r="K5" s="6" t="inlineStr">
        <is>
          <t>3.96 lbs</t>
        </is>
      </c>
      <c r="L5" s="9" t="n">
        <v>20.21</v>
      </c>
      <c r="M5" s="9" t="n">
        <v>39.99</v>
      </c>
      <c r="N5" s="9" t="n">
        <v>34.99</v>
      </c>
      <c r="O5" s="7" t="n">
        <v>722626016431</v>
      </c>
      <c r="P5" s="6" t="inlineStr">
        <is>
          <t>5 EACH/CASE</t>
        </is>
      </c>
      <c r="Q5" s="6" t="inlineStr">
        <is>
          <t>19.8 lbs</t>
        </is>
      </c>
      <c r="R5" s="10">
        <f>17.96*5</f>
        <v/>
      </c>
      <c r="S5" s="11" t="n"/>
      <c r="T5" s="13" t="inlineStr">
        <is>
          <t>https://www.bcwsupplies.com/short-comic-book-bin-blue</t>
        </is>
      </c>
      <c r="U5" s="13" t="inlineStr">
        <is>
          <t>12.5% under MSRP to compete with marketplace pricing for bins and drive conversion. Ref: https://www.ebay.com/sch/i.html?_nkw=bcw+comic+storage+box&amp;_sop=12</t>
        </is>
      </c>
      <c r="V5" s="11" t="n"/>
      <c r="W5" s="11" t="n"/>
      <c r="X5" s="11" t="n"/>
      <c r="Y5" s="11" t="n"/>
      <c r="Z5" s="11" t="n"/>
    </row>
    <row r="6" ht="60" customHeight="1">
      <c r="B6" s="6" t="inlineStr">
        <is>
          <t>1-CBB-SHORT-GRN</t>
        </is>
      </c>
      <c r="C6" s="6" t="inlineStr">
        <is>
          <t>Short Comic Book Bin - Green</t>
        </is>
      </c>
      <c r="D6" s="7" t="n">
        <v>722626035746</v>
      </c>
      <c r="E6" s="6" t="inlineStr">
        <is>
          <t>Plastic: Polypropylene</t>
        </is>
      </c>
      <c r="F6" s="6" t="inlineStr">
        <is>
          <t>MDM-BIN-SHT-GRN</t>
        </is>
      </c>
      <c r="G6" s="6" t="inlineStr">
        <is>
          <t>Comic Book Bin</t>
        </is>
      </c>
      <c r="H6" s="8" t="inlineStr">
        <is>
          <t>Heavy duty, acid-free plastic
Stack up to six high
Includes one Green Comic Bin Partition
Count: 1</t>
        </is>
      </c>
      <c r="I6" s="6" t="inlineStr">
        <is>
          <t>9 ⅝" x 11 ¼" x 15 ½"</t>
        </is>
      </c>
      <c r="J6" s="6" t="inlineStr">
        <is>
          <t>10 ¾" x 12 ¼" x 16 ½"</t>
        </is>
      </c>
      <c r="K6" s="6" t="inlineStr">
        <is>
          <t>3.96 lbs</t>
        </is>
      </c>
      <c r="L6" s="9" t="n">
        <v>20.21</v>
      </c>
      <c r="M6" s="9" t="n">
        <v>39.99</v>
      </c>
      <c r="N6" s="9" t="n">
        <v>34.99</v>
      </c>
      <c r="O6" s="7" t="n">
        <v>722626035753</v>
      </c>
      <c r="P6" s="6" t="inlineStr">
        <is>
          <t>5 EACH/CASE</t>
        </is>
      </c>
      <c r="Q6" s="6" t="inlineStr">
        <is>
          <t>19.8 lbs</t>
        </is>
      </c>
      <c r="R6" s="10">
        <f>17.96*5</f>
        <v/>
      </c>
      <c r="S6" s="11" t="n"/>
      <c r="T6" s="13" t="inlineStr">
        <is>
          <t>https://www.bcwsupplies.com/short-comic-book-bin-green</t>
        </is>
      </c>
      <c r="U6" s="13" t="inlineStr">
        <is>
          <t>12.5% under MSRP to compete with marketplace pricing for bins and drive conversion. Ref: https://www.ebay.com/sch/i.html?_nkw=bcw+comic+storage+box&amp;_sop=12</t>
        </is>
      </c>
      <c r="V6" s="11" t="n"/>
      <c r="W6" s="11" t="n"/>
      <c r="X6" s="11" t="n"/>
      <c r="Y6" s="11" t="n"/>
      <c r="Z6" s="11" t="n"/>
    </row>
    <row r="7" ht="60" customHeight="1">
      <c r="B7" s="6" t="inlineStr">
        <is>
          <t>1-CBB-SHORT-BLK</t>
        </is>
      </c>
      <c r="C7" s="6" t="inlineStr">
        <is>
          <t>Short Comic Book Bin - Black</t>
        </is>
      </c>
      <c r="D7" s="7" t="n">
        <v>722626008375</v>
      </c>
      <c r="E7" s="6" t="inlineStr">
        <is>
          <t>Plastic: Polypropylene</t>
        </is>
      </c>
      <c r="F7" s="6" t="inlineStr">
        <is>
          <t>MDM-BIN-SHT-BLK</t>
        </is>
      </c>
      <c r="G7" s="6" t="inlineStr">
        <is>
          <t>Comic Book Bin</t>
        </is>
      </c>
      <c r="H7" s="8" t="inlineStr">
        <is>
          <t>Heavy duty, acid-free plastic
Stack up to six high
Includes one Black Comic Bin Partition
Count: 1</t>
        </is>
      </c>
      <c r="I7" s="6" t="inlineStr">
        <is>
          <t>9 ⅝" x 11 ¼" x 15 ½"</t>
        </is>
      </c>
      <c r="J7" s="6" t="inlineStr">
        <is>
          <t>10 ¾" x 12 ¼" x 16 ½"</t>
        </is>
      </c>
      <c r="K7" s="6" t="inlineStr">
        <is>
          <t>3.96 lbs</t>
        </is>
      </c>
      <c r="L7" s="9" t="n">
        <v>20.21</v>
      </c>
      <c r="M7" s="9" t="n">
        <v>39.99</v>
      </c>
      <c r="N7" s="9" t="n">
        <v>34.99</v>
      </c>
      <c r="O7" s="7" t="n">
        <v>722626229039</v>
      </c>
      <c r="P7" s="6" t="inlineStr">
        <is>
          <t>5 EACH/CASE</t>
        </is>
      </c>
      <c r="Q7" s="6" t="inlineStr">
        <is>
          <t>19.8 lbs</t>
        </is>
      </c>
      <c r="R7" s="10">
        <f>17.96*5</f>
        <v/>
      </c>
      <c r="S7" s="11" t="n"/>
      <c r="T7" s="13" t="inlineStr">
        <is>
          <t>https://www.bcwsupplies.com/short-comic-book-bin-black</t>
        </is>
      </c>
      <c r="U7" s="13" t="inlineStr">
        <is>
          <t>12.5% under MSRP to compete with marketplace pricing for bins and drive conversion. Ref: https://www.ebay.com/sch/i.html?_nkw=bcw+comic+storage+box&amp;_sop=12</t>
        </is>
      </c>
      <c r="V7" s="11" t="n"/>
      <c r="W7" s="11" t="n"/>
      <c r="X7" s="11" t="n"/>
      <c r="Y7" s="11" t="n"/>
      <c r="Z7" s="11" t="n"/>
    </row>
    <row r="8" ht="60" customHeight="1">
      <c r="B8" s="6" t="inlineStr">
        <is>
          <t>1-CBB-LONG-BLK</t>
        </is>
      </c>
      <c r="C8" s="6" t="inlineStr">
        <is>
          <t>Long Comic Book Bin - Black</t>
        </is>
      </c>
      <c r="D8" s="7" t="n">
        <v>722626600784</v>
      </c>
      <c r="E8" s="6" t="inlineStr">
        <is>
          <t>Plastic: Polypropylene</t>
        </is>
      </c>
      <c r="F8" s="6" t="inlineStr">
        <is>
          <t>MDM-BIN-LNG-BLK</t>
        </is>
      </c>
      <c r="G8" s="6" t="inlineStr">
        <is>
          <t>Comic Book Bin</t>
        </is>
      </c>
      <c r="H8" s="8" t="inlineStr">
        <is>
          <t>Heavy duty, acid-free plastic
Stack up to six high
Includes one Black Comic Bin Partition
Count: 1</t>
        </is>
      </c>
      <c r="I8" s="6" t="inlineStr">
        <is>
          <t>7 ⅝" x 11 ¼" x 27 ½"</t>
        </is>
      </c>
      <c r="J8" s="6" t="inlineStr">
        <is>
          <t>8 ¾" x 12 ¼" x 28 ½"</t>
        </is>
      </c>
      <c r="K8" s="6" t="inlineStr">
        <is>
          <t>6.20 lbs</t>
        </is>
      </c>
      <c r="L8" s="10" t="n">
        <v>38.54</v>
      </c>
      <c r="M8" s="10" t="n">
        <v>75.98999999999999</v>
      </c>
      <c r="N8" s="10" t="n">
        <v>64.98999999999999</v>
      </c>
      <c r="O8" s="7" t="n">
        <v>722626200953</v>
      </c>
      <c r="P8" s="6" t="inlineStr">
        <is>
          <t>5 EACH/CASE</t>
        </is>
      </c>
      <c r="Q8" s="6" t="inlineStr">
        <is>
          <t>31 lb</t>
        </is>
      </c>
      <c r="R8" s="10">
        <f>34.26*5</f>
        <v/>
      </c>
      <c r="S8" s="11" t="n"/>
      <c r="T8" s="13" t="inlineStr">
        <is>
          <t>https://www.bcwsupplies.com/long-comic-book-bin</t>
        </is>
      </c>
      <c r="U8" s="13" t="inlineStr">
        <is>
          <t>14.5% under MSRP to compete with marketplace pricing for bins and drive conversion. Ref: https://www.ebay.com/sch/i.html?_nkw=bcw+comic+storage+box&amp;_sop=12</t>
        </is>
      </c>
      <c r="V8" s="11" t="n"/>
      <c r="W8" s="11" t="n"/>
      <c r="X8" s="11" t="n"/>
      <c r="Y8" s="11" t="n"/>
      <c r="Z8" s="11" t="n"/>
    </row>
    <row r="9" ht="60" customHeight="1">
      <c r="B9" s="6" t="inlineStr">
        <is>
          <t>1-CBB-GC-BLK</t>
        </is>
      </c>
      <c r="C9" s="6" t="inlineStr">
        <is>
          <t>Graded Comic Book Bin - Black</t>
        </is>
      </c>
      <c r="D9" s="7" t="n">
        <v>722626009730</v>
      </c>
      <c r="E9" s="6" t="inlineStr">
        <is>
          <t>Plastic: Polypropylene</t>
        </is>
      </c>
      <c r="F9" s="6" t="inlineStr">
        <is>
          <t>MDM-BIN-GRD-BLK</t>
        </is>
      </c>
      <c r="G9" s="6" t="inlineStr">
        <is>
          <t>Comic Book Bin</t>
        </is>
      </c>
      <c r="H9" s="8" t="inlineStr">
        <is>
          <t>Heavy duty, acid-free plastic
Stack up to six high
Includes one Black Graded Comic Bin Partition
Count: 1</t>
        </is>
      </c>
      <c r="I9" s="6" t="inlineStr">
        <is>
          <t>8 ¾" x 13 ¼" x 15 ½"</t>
        </is>
      </c>
      <c r="J9" s="6" t="inlineStr">
        <is>
          <t>10 ⅞" x 14 ¼" x 16 ½"</t>
        </is>
      </c>
      <c r="K9" s="6" t="inlineStr">
        <is>
          <t>4.80 lbs</t>
        </is>
      </c>
      <c r="L9" s="10" t="n">
        <v>30.58</v>
      </c>
      <c r="M9" s="10" t="n">
        <v>59.99</v>
      </c>
      <c r="N9" s="10" t="n">
        <v>52.99</v>
      </c>
      <c r="O9" s="7" t="n">
        <v>722626200021</v>
      </c>
      <c r="P9" s="6" t="inlineStr">
        <is>
          <t>5 EACH/CASE</t>
        </is>
      </c>
      <c r="Q9" s="6" t="inlineStr">
        <is>
          <t>24 lbs</t>
        </is>
      </c>
      <c r="R9" s="10">
        <f>5*27.18</f>
        <v/>
      </c>
      <c r="S9" s="11" t="n"/>
      <c r="T9" s="13" t="inlineStr">
        <is>
          <t>https://www.bcwsupplies.com/graded-comic-book-bin</t>
        </is>
      </c>
      <c r="U9" s="13" t="inlineStr">
        <is>
          <t>11.7% under MSRP to compete with marketplace pricing for bins and drive conversion. Ref: https://www.ebay.com/sch/i.html?_nkw=bcw+comic+storage+box&amp;_sop=12</t>
        </is>
      </c>
      <c r="V9" s="11" t="n"/>
      <c r="W9" s="11" t="n"/>
      <c r="X9" s="11" t="n"/>
      <c r="Y9" s="11" t="n"/>
      <c r="Z9" s="11" t="n"/>
    </row>
    <row r="10" ht="60" customHeight="1">
      <c r="B10" s="6" t="inlineStr">
        <is>
          <t>1-GLC-C01-BLK</t>
        </is>
      </c>
      <c r="C10" s="6" t="inlineStr">
        <is>
          <t>Small Graded Latching Case - Comics - Single</t>
        </is>
      </c>
      <c r="D10" s="7" t="n">
        <v>722626039577</v>
      </c>
      <c r="E10" s="6" t="inlineStr">
        <is>
          <t>Mixed</t>
        </is>
      </c>
      <c r="F10" s="6" t="inlineStr">
        <is>
          <t>MDM-LTC-GRD-01</t>
        </is>
      </c>
      <c r="G10" s="6" t="inlineStr">
        <is>
          <t>Latching Cases</t>
        </is>
      </c>
      <c r="H10" s="12" t="inlineStr">
        <is>
          <t>Wide enough to hold most any graded comics
Stackable
Double-latch closure
Count: 1</t>
        </is>
      </c>
      <c r="I10" s="6" t="inlineStr">
        <is>
          <t>3 ⅜" x 5 ⅝" x 8 ⅛"</t>
        </is>
      </c>
      <c r="J10" s="6" t="inlineStr">
        <is>
          <t>8 ¼" x 12 ¾" x ½"</t>
        </is>
      </c>
      <c r="K10" s="6" t="inlineStr">
        <is>
          <t>.44 lbs</t>
        </is>
      </c>
      <c r="L10" s="10" t="n">
        <v>25.85</v>
      </c>
      <c r="M10" s="10" t="n">
        <v>50.99</v>
      </c>
      <c r="N10" s="10" t="n">
        <v>44.99</v>
      </c>
      <c r="O10" s="7" t="n">
        <v>722626039690</v>
      </c>
      <c r="P10" s="6" t="inlineStr">
        <is>
          <t>10 EACH/CASE</t>
        </is>
      </c>
      <c r="Q10" s="6" t="inlineStr">
        <is>
          <t>4.5 lbs</t>
        </is>
      </c>
      <c r="R10" s="10">
        <f>10*22.98</f>
        <v/>
      </c>
      <c r="S10" s="11" t="n"/>
      <c r="T10" s="13" t="inlineStr">
        <is>
          <t>https://www.bcwsupplies.com/graded-latch-case-comics-single</t>
        </is>
      </c>
      <c r="U10" s="13" t="inlineStr">
        <is>
          <t>11.8% under MSRP to compete with common promo/volume discounts while maintaining margin. Ref: https://www.bcwsupplies.com/graded-latch-case-comics-single</t>
        </is>
      </c>
      <c r="V10" s="11" t="n"/>
      <c r="W10" s="11" t="n"/>
      <c r="X10" s="11" t="n"/>
      <c r="Y10" s="11" t="n"/>
      <c r="Z10" s="11" t="n"/>
    </row>
    <row r="11" ht="60" customHeight="1">
      <c r="B11" s="6" t="inlineStr">
        <is>
          <t>1-GLC-C15-BLK</t>
        </is>
      </c>
      <c r="C11" s="6" t="inlineStr">
        <is>
          <t>Large Graded Latching Case - Comics - 15 ct</t>
        </is>
      </c>
      <c r="D11" s="7" t="n">
        <v>722626039713</v>
      </c>
      <c r="E11" s="6" t="inlineStr">
        <is>
          <t>Mixed</t>
        </is>
      </c>
      <c r="F11" s="6" t="inlineStr">
        <is>
          <t>MDM-LTC-GRD-15</t>
        </is>
      </c>
      <c r="G11" s="6" t="inlineStr">
        <is>
          <t>Latching Cases</t>
        </is>
      </c>
      <c r="H11" s="12" t="inlineStr">
        <is>
          <t>Wide enough to hold magnetic slabs and graded comics
Stackable
Carrying handles for portability
Count: 1</t>
        </is>
      </c>
      <c r="I11" s="6" t="inlineStr">
        <is>
          <t>9" x 8 ¼" x 12 ¾"</t>
        </is>
      </c>
      <c r="J11" s="6" t="inlineStr">
        <is>
          <t>13" x 15" x 11"</t>
        </is>
      </c>
      <c r="K11" s="6" t="inlineStr">
        <is>
          <t>6.43 lbs</t>
        </is>
      </c>
      <c r="L11" s="10" t="n">
        <v>64.45999999999999</v>
      </c>
      <c r="M11" s="10" t="n">
        <v>126.99</v>
      </c>
      <c r="N11" s="10" t="n">
        <v>114.99</v>
      </c>
      <c r="O11" s="7" t="n">
        <v>722626036569</v>
      </c>
      <c r="P11" s="6" t="inlineStr">
        <is>
          <t>4 EACH/CASE</t>
        </is>
      </c>
      <c r="Q11" s="6" t="inlineStr">
        <is>
          <t>25.7 lbs</t>
        </is>
      </c>
      <c r="R11" s="10">
        <f>4*57.3</f>
        <v/>
      </c>
      <c r="S11" s="11" t="n"/>
      <c r="T11" s="13" t="inlineStr">
        <is>
          <t>https://www.bcwsupplies.com/graded-latch-case-comics-15-ct</t>
        </is>
      </c>
      <c r="U11" s="13" t="inlineStr">
        <is>
          <t>9.4% under MSRP to compete with common promo/volume discounts while maintaining margin. Ref: https://www.bcwsupplies.com/graded-latch-case-comics-15-ct</t>
        </is>
      </c>
      <c r="V11" s="11" t="n"/>
      <c r="W11" s="11" t="n"/>
      <c r="X11" s="11" t="n"/>
      <c r="Y11" s="11" t="n"/>
      <c r="Z11" s="11" t="n"/>
    </row>
    <row r="12" ht="75" customHeight="1">
      <c r="B12" s="6" t="inlineStr">
        <is>
          <t>1-GLC-C30-BLK</t>
        </is>
      </c>
      <c r="C12" s="6" t="inlineStr">
        <is>
          <t>X-Large Graded Latching Case - Comics - 30 ct</t>
        </is>
      </c>
      <c r="D12" s="7" t="n">
        <v>722626040689</v>
      </c>
      <c r="E12" s="6" t="inlineStr">
        <is>
          <t>Mixed</t>
        </is>
      </c>
      <c r="F12" s="6" t="inlineStr">
        <is>
          <t>MDM-LTC-GRD-30</t>
        </is>
      </c>
      <c r="G12" s="6" t="inlineStr">
        <is>
          <t>Latching Cases</t>
        </is>
      </c>
      <c r="H12" s="12" t="inlineStr">
        <is>
          <t>Wide enough to hold magnetic slabs and graded comics
Stackable
Carrying handles for portability
Slot for adding tracking tag
Count: 1</t>
        </is>
      </c>
      <c r="I12" s="6" t="inlineStr">
        <is>
          <t>18" x 8 ¼" x 12 ¾"</t>
        </is>
      </c>
      <c r="J12" s="6" t="inlineStr">
        <is>
          <t>22" x 15" x 11"</t>
        </is>
      </c>
      <c r="K12" s="6" t="inlineStr">
        <is>
          <t>9.65 lbs</t>
        </is>
      </c>
      <c r="L12" s="10" t="n">
        <v>86.51000000000001</v>
      </c>
      <c r="M12" s="10" t="n">
        <v>169.99</v>
      </c>
      <c r="N12" s="10" t="n">
        <v>149.99</v>
      </c>
      <c r="O12" s="7" t="n"/>
      <c r="P12" s="6" t="n"/>
      <c r="Q12" s="6" t="n"/>
      <c r="R12" s="10" t="n"/>
      <c r="S12" s="11" t="n"/>
      <c r="T12" s="13" t="inlineStr">
        <is>
          <t>https://www.bcwsupplies.com/graded-latch-case-comics-30-ct</t>
        </is>
      </c>
      <c r="U12" s="13" t="inlineStr">
        <is>
          <t>11.8% under MSRP to compete with common promo/volume discounts while maintaining margin. Ref: https://www.bcwsupplies.com/graded-latch-case-comics-30-ct</t>
        </is>
      </c>
      <c r="V12" s="11" t="n"/>
      <c r="W12" s="11" t="n"/>
      <c r="X12" s="11" t="n"/>
      <c r="Y12" s="11" t="n"/>
      <c r="Z12" s="11" t="n"/>
    </row>
    <row r="13" ht="60" customHeight="1">
      <c r="B13" s="6" t="inlineStr">
        <is>
          <t>1-CUR</t>
        </is>
      </c>
      <c r="C13" s="6" t="inlineStr">
        <is>
          <t>Current | Modern Comic Bags</t>
        </is>
      </c>
      <c r="D13" s="7" t="n">
        <v>722626903007</v>
      </c>
      <c r="E13" s="6" t="inlineStr">
        <is>
          <t>Plastic: Polypropylene</t>
        </is>
      </c>
      <c r="F13" s="6" t="inlineStr">
        <is>
          <t>MDM-BAG-CUR</t>
        </is>
      </c>
      <c r="G13" s="6" t="inlineStr">
        <is>
          <t>Comic Book Bags</t>
        </is>
      </c>
      <c r="H13" s="12" t="inlineStr">
        <is>
          <t>Holds most current comics
Acid-free, safe storage
Use with BCW Current Backing Boards
100 Bags per Pack</t>
        </is>
      </c>
      <c r="I13" s="6" t="n"/>
      <c r="J13" s="6" t="inlineStr">
        <is>
          <t>6 ⅞" x 10 ½"</t>
        </is>
      </c>
      <c r="K13" s="6" t="inlineStr">
        <is>
          <t>1.13 lbs</t>
        </is>
      </c>
      <c r="L13" s="10" t="n">
        <v>3.69</v>
      </c>
      <c r="M13" s="10" t="n">
        <v>7.99</v>
      </c>
      <c r="N13" s="10" t="n">
        <v>7.49</v>
      </c>
      <c r="O13" s="7" t="n">
        <v>722626218552</v>
      </c>
      <c r="P13" s="6" t="inlineStr">
        <is>
          <t>10 PACKS/CASE</t>
        </is>
      </c>
      <c r="Q13" s="6" t="inlineStr">
        <is>
          <t>11.3 lbs</t>
        </is>
      </c>
      <c r="R13" s="10">
        <f>10*3.28</f>
        <v/>
      </c>
      <c r="S13" s="11" t="n"/>
      <c r="T13" s="13" t="inlineStr">
        <is>
          <t>https://www.bcwsupplies.com/modern-current-comic-book-bags</t>
        </is>
      </c>
      <c r="U13" s="13" t="inlineStr">
        <is>
          <t>6.3% under MSRP to stay competitive with typical online pricing for BCW bags/boards. Ref: https://shopbck.com/bags-boards-1/</t>
        </is>
      </c>
      <c r="V13" s="11" t="n"/>
      <c r="W13" s="11" t="n"/>
      <c r="X13" s="11" t="n"/>
      <c r="Y13" s="11" t="n"/>
      <c r="Z13" s="11" t="n"/>
    </row>
    <row r="14" ht="69.95" customHeight="1">
      <c r="B14" s="6" t="inlineStr">
        <is>
          <t>1-CUR-THICK</t>
        </is>
      </c>
      <c r="C14" s="6" t="inlineStr">
        <is>
          <t>Current | Modern Comic Bags - Thick</t>
        </is>
      </c>
      <c r="D14" s="7" t="n">
        <v>722626903014</v>
      </c>
      <c r="E14" s="6" t="inlineStr">
        <is>
          <t>Plastic: Polypropylene</t>
        </is>
      </c>
      <c r="F14" s="6" t="inlineStr">
        <is>
          <t>MDM-BAG-CUR-TK</t>
        </is>
      </c>
      <c r="G14" s="6" t="inlineStr">
        <is>
          <t>Comic Book Bags</t>
        </is>
      </c>
      <c r="H14" s="12" t="inlineStr">
        <is>
          <t>Fits most current comics
Acid-free, safe storage
Use with BCW Current Backing Boards
Wider bag to better fit your annuals and prestige comics
100 Bags per Pack</t>
        </is>
      </c>
      <c r="I14" s="6" t="n"/>
      <c r="J14" s="6" t="inlineStr">
        <is>
          <t>7" x 10 ½"</t>
        </is>
      </c>
      <c r="K14" s="6" t="inlineStr">
        <is>
          <t>1.12 lbs</t>
        </is>
      </c>
      <c r="L14" s="10" t="n">
        <v>3.69</v>
      </c>
      <c r="M14" s="10" t="n">
        <v>7.99</v>
      </c>
      <c r="N14" s="10" t="n">
        <v>7.49</v>
      </c>
      <c r="O14" s="7" t="n">
        <v>722626218859</v>
      </c>
      <c r="P14" s="6" t="inlineStr">
        <is>
          <t>10 PACKS/CASE</t>
        </is>
      </c>
      <c r="Q14" s="6" t="inlineStr">
        <is>
          <t>11.15 lbs</t>
        </is>
      </c>
      <c r="R14" s="10">
        <f>10*3.28</f>
        <v/>
      </c>
      <c r="S14" s="11" t="n"/>
      <c r="T14" s="13" t="inlineStr">
        <is>
          <t>https://www.bcwsupplies.com/current-comic-book-bags-thick</t>
        </is>
      </c>
      <c r="U14" s="13" t="inlineStr">
        <is>
          <t>6.3% under MSRP to stay competitive with typical online pricing for BCW bags/boards. Ref: https://shopbck.com/bags-boards-1/</t>
        </is>
      </c>
      <c r="V14" s="11" t="n"/>
      <c r="W14" s="11" t="n"/>
      <c r="X14" s="11" t="n"/>
      <c r="Y14" s="11" t="n"/>
      <c r="Z14" s="11" t="n"/>
    </row>
    <row r="15" ht="60" customHeight="1">
      <c r="B15" s="6" t="inlineStr">
        <is>
          <t>1-SIL</t>
        </is>
      </c>
      <c r="C15" s="6" t="inlineStr">
        <is>
          <t>Silver | Regular Comic Bags</t>
        </is>
      </c>
      <c r="D15" s="7" t="n">
        <v>722626903205</v>
      </c>
      <c r="E15" s="6" t="inlineStr">
        <is>
          <t>Plastic: Polypropylene</t>
        </is>
      </c>
      <c r="F15" s="6" t="inlineStr">
        <is>
          <t>MDM-BAG-SLV</t>
        </is>
      </c>
      <c r="G15" s="6" t="inlineStr">
        <is>
          <t>Comic Book Bags</t>
        </is>
      </c>
      <c r="H15" s="12" t="inlineStr">
        <is>
          <t>Holds silver age comics
Acid-free, safe storage
Use with BCW Silver Backing Boards
100 Bags per Pack</t>
        </is>
      </c>
      <c r="I15" s="6" t="n"/>
      <c r="J15" s="6" t="inlineStr">
        <is>
          <t>7 ⅛" x 10 ½"</t>
        </is>
      </c>
      <c r="K15" s="6" t="inlineStr">
        <is>
          <t>1.09 lbs</t>
        </is>
      </c>
      <c r="L15" s="10" t="n">
        <v>3.94</v>
      </c>
      <c r="M15" s="10" t="n">
        <v>7.99</v>
      </c>
      <c r="N15" s="10" t="n">
        <v>7.49</v>
      </c>
      <c r="O15" s="7" t="n">
        <v>722626226304</v>
      </c>
      <c r="P15" s="6" t="inlineStr">
        <is>
          <t>10 PACKS/CASE</t>
        </is>
      </c>
      <c r="Q15" s="6" t="inlineStr">
        <is>
          <t>11.3 lbs</t>
        </is>
      </c>
      <c r="R15" s="10">
        <f>10*3.5</f>
        <v/>
      </c>
      <c r="S15" s="11" t="n"/>
      <c r="T15" s="13" t="inlineStr">
        <is>
          <t>https://www.bcwsupplies.com/silver-comic-book-bags</t>
        </is>
      </c>
      <c r="U15" s="13" t="inlineStr">
        <is>
          <t>6.3% under MSRP to stay competitive with typical online pricing for BCW bags/boards. Ref: https://shopbck.com/bags-boards-1/</t>
        </is>
      </c>
      <c r="V15" s="11" t="n"/>
      <c r="W15" s="11" t="n"/>
      <c r="X15" s="11" t="n"/>
      <c r="Y15" s="11" t="n"/>
      <c r="Z15" s="11" t="n"/>
    </row>
    <row r="16" ht="69.95" customHeight="1">
      <c r="B16" s="6" t="inlineStr">
        <is>
          <t>1-SIL-THICK</t>
        </is>
      </c>
      <c r="C16" s="6" t="inlineStr">
        <is>
          <t>Silver | Regular Comic Bags - Thick</t>
        </is>
      </c>
      <c r="D16" s="7" t="n">
        <v>722626903212</v>
      </c>
      <c r="E16" s="6" t="inlineStr">
        <is>
          <t>Plastic: Polypropylene</t>
        </is>
      </c>
      <c r="F16" s="6" t="inlineStr">
        <is>
          <t>MDM-BAG-SLV-TK</t>
        </is>
      </c>
      <c r="G16" s="6" t="inlineStr">
        <is>
          <t>Comic Book Bags</t>
        </is>
      </c>
      <c r="H16" s="12" t="inlineStr">
        <is>
          <t>Holds silver age comics
Acid-free, safe storage
Wider bag fits annuals and 80-page giants
Use with BCW Silver Backing Boards
100 Bags per Pack</t>
        </is>
      </c>
      <c r="I16" s="6" t="n"/>
      <c r="J16" s="6" t="inlineStr">
        <is>
          <t>7 ¼" x 10 ½"</t>
        </is>
      </c>
      <c r="K16" s="6" t="inlineStr">
        <is>
          <t>1.13 lbs</t>
        </is>
      </c>
      <c r="L16" s="10" t="n">
        <v>3.94</v>
      </c>
      <c r="M16" s="10" t="n">
        <v>7.99</v>
      </c>
      <c r="N16" s="10" t="n">
        <v>7.49</v>
      </c>
      <c r="O16" s="7" t="n">
        <v>722626226656</v>
      </c>
      <c r="P16" s="6" t="inlineStr">
        <is>
          <t>10 PACKS/CASE</t>
        </is>
      </c>
      <c r="Q16" s="6" t="inlineStr">
        <is>
          <t>11.25 lbs</t>
        </is>
      </c>
      <c r="R16" s="10">
        <f>10*3.5</f>
        <v/>
      </c>
      <c r="S16" s="11" t="n"/>
      <c r="T16" s="13" t="inlineStr">
        <is>
          <t>https://www.bcwsupplies.com/silver-comic-book-bags-thick</t>
        </is>
      </c>
      <c r="U16" s="13" t="inlineStr">
        <is>
          <t>6.3% under MSRP to stay competitive with typical online pricing for BCW bags/boards. Ref: https://shopbck.com/bags-boards-1/</t>
        </is>
      </c>
      <c r="V16" s="11" t="n"/>
      <c r="W16" s="11" t="n"/>
      <c r="X16" s="11" t="n"/>
      <c r="Y16" s="11" t="n"/>
      <c r="Z16" s="11" t="n"/>
    </row>
    <row r="17" ht="60" customHeight="1">
      <c r="B17" s="6" t="inlineStr">
        <is>
          <t>1-GOL</t>
        </is>
      </c>
      <c r="C17" s="6" t="inlineStr">
        <is>
          <t>Golden Comic Bags</t>
        </is>
      </c>
      <c r="D17" s="7" t="n">
        <v>722626903250</v>
      </c>
      <c r="E17" s="6" t="inlineStr">
        <is>
          <t>Plastic: Polypropylene</t>
        </is>
      </c>
      <c r="F17" s="6" t="inlineStr">
        <is>
          <t>MDM-BAG-GLD</t>
        </is>
      </c>
      <c r="G17" s="6" t="inlineStr">
        <is>
          <t>Comic Book Bags</t>
        </is>
      </c>
      <c r="H17" s="12" t="inlineStr">
        <is>
          <t>Holds most golden comics
Acid-free, safe storage
Use with BCW Golden Backing Boards
100 Bags per Pack</t>
        </is>
      </c>
      <c r="I17" s="6" t="n"/>
      <c r="J17" s="6" t="inlineStr">
        <is>
          <t>7 ⅝" x 10 ½"</t>
        </is>
      </c>
      <c r="K17" s="6" t="inlineStr">
        <is>
          <t>1.17 lbs</t>
        </is>
      </c>
      <c r="L17" s="10" t="n">
        <v>4.07</v>
      </c>
      <c r="M17" s="10" t="n">
        <v>8.49</v>
      </c>
      <c r="N17" s="10" t="n">
        <v>7.99</v>
      </c>
      <c r="O17" s="7" t="n">
        <v>722626220500</v>
      </c>
      <c r="P17" s="6" t="inlineStr">
        <is>
          <t>10 PACKS/CASE</t>
        </is>
      </c>
      <c r="Q17" s="6" t="inlineStr">
        <is>
          <t>11.7 lbs</t>
        </is>
      </c>
      <c r="R17" s="10">
        <f>10*3.62</f>
        <v/>
      </c>
      <c r="S17" s="11" t="n"/>
      <c r="T17" s="13" t="inlineStr">
        <is>
          <t>https://www.bcwsupplies.com/golden-comic-book-bags</t>
        </is>
      </c>
      <c r="U17" s="13" t="inlineStr">
        <is>
          <t>5.9% under MSRP to stay competitive with typical online pricing for BCW bags/boards. Ref: https://shopbck.com/bags-boards-1/</t>
        </is>
      </c>
      <c r="V17" s="11" t="n"/>
      <c r="W17" s="11" t="n"/>
      <c r="X17" s="11" t="n"/>
      <c r="Y17" s="11" t="n"/>
      <c r="Z17" s="11" t="n"/>
    </row>
    <row r="18" ht="84.95" customHeight="1">
      <c r="B18" s="6" t="inlineStr">
        <is>
          <t>1-GOL-THICK</t>
        </is>
      </c>
      <c r="C18" s="6" t="inlineStr">
        <is>
          <t>Golden Comic Bags - Thick</t>
        </is>
      </c>
      <c r="D18" s="7" t="n">
        <v>722626903267</v>
      </c>
      <c r="E18" s="6" t="inlineStr">
        <is>
          <t>Plastic: Polypropylene</t>
        </is>
      </c>
      <c r="F18" s="6" t="inlineStr">
        <is>
          <t>MDM-BAG-GLD-TK</t>
        </is>
      </c>
      <c r="G18" s="6" t="inlineStr">
        <is>
          <t>Comic Book Bags</t>
        </is>
      </c>
      <c r="H18" s="12" t="inlineStr">
        <is>
          <t>Holds most golden comics
Acid-free, safe storage
Wider bag fits annuals and 80-page giants
Use with BCW Golden Backing Boards
100 Bags per Pack</t>
        </is>
      </c>
      <c r="I18" s="6" t="n"/>
      <c r="J18" s="6" t="inlineStr">
        <is>
          <t>8" x 10 ½"</t>
        </is>
      </c>
      <c r="K18" s="6" t="inlineStr">
        <is>
          <t>1.22 lbs</t>
        </is>
      </c>
      <c r="L18" s="10" t="n">
        <v>4.07</v>
      </c>
      <c r="M18" s="10" t="n">
        <v>8.49</v>
      </c>
      <c r="N18" s="10" t="n">
        <v>7.99</v>
      </c>
      <c r="O18" s="7" t="n">
        <v>722626220906</v>
      </c>
      <c r="P18" s="6" t="inlineStr">
        <is>
          <t>10 PACKS/CASE</t>
        </is>
      </c>
      <c r="Q18" s="6" t="inlineStr">
        <is>
          <t>12.2 lbs</t>
        </is>
      </c>
      <c r="R18" s="10">
        <f>10*3.62</f>
        <v/>
      </c>
      <c r="S18" s="11" t="n"/>
      <c r="T18" s="13" t="inlineStr">
        <is>
          <t>https://www.bcwsupplies.com/golden-comic-book-bags-thick</t>
        </is>
      </c>
      <c r="U18" s="13" t="inlineStr">
        <is>
          <t>5.9% under MSRP to stay competitive with typical online pricing for BCW bags/boards. Ref: https://shopbck.com/bags-boards-1/</t>
        </is>
      </c>
      <c r="V18" s="11" t="n"/>
      <c r="W18" s="11" t="n"/>
      <c r="X18" s="11" t="n"/>
      <c r="Y18" s="11" t="n"/>
      <c r="Z18" s="11" t="n"/>
    </row>
    <row r="19" ht="60" customHeight="1">
      <c r="B19" s="6" t="inlineStr">
        <is>
          <t>1-TB</t>
        </is>
      </c>
      <c r="C19" s="6" t="inlineStr">
        <is>
          <t>Treasury Bags</t>
        </is>
      </c>
      <c r="D19" s="7" t="n">
        <v>722626902932</v>
      </c>
      <c r="E19" s="6" t="inlineStr">
        <is>
          <t>Plastic: Polypropylene</t>
        </is>
      </c>
      <c r="F19" s="6" t="inlineStr">
        <is>
          <t>MDM-BAG-TRS</t>
        </is>
      </c>
      <c r="G19" s="6" t="inlineStr">
        <is>
          <t>Comic Book Bags</t>
        </is>
      </c>
      <c r="H19" s="12" t="inlineStr">
        <is>
          <t>Holds most treasury comics
Acid-free, safe storage
Use with BCW Treasury Backing Boards
100 Bags per Pack</t>
        </is>
      </c>
      <c r="I19" s="6" t="n"/>
      <c r="J19" s="6" t="inlineStr">
        <is>
          <t>10 ½" x 13 ½"</t>
        </is>
      </c>
      <c r="K19" s="6" t="inlineStr">
        <is>
          <t>1.99 lbs</t>
        </is>
      </c>
      <c r="L19" s="10" t="n">
        <v>10.35</v>
      </c>
      <c r="M19" s="10" t="n">
        <v>20.99</v>
      </c>
      <c r="N19" s="10" t="n">
        <v>19.99</v>
      </c>
      <c r="O19" s="7" t="n">
        <v>722626227707</v>
      </c>
      <c r="P19" s="6" t="inlineStr">
        <is>
          <t>10 PACKS/CASE</t>
        </is>
      </c>
      <c r="Q19" s="6" t="inlineStr">
        <is>
          <t>19.9 lbs</t>
        </is>
      </c>
      <c r="R19" s="10">
        <f>10*9.2</f>
        <v/>
      </c>
      <c r="S19" s="11" t="n"/>
      <c r="T19" s="13" t="inlineStr">
        <is>
          <t>https://www.bcwsupplies.com/treasury-comic-book-bags</t>
        </is>
      </c>
      <c r="U19" s="13" t="inlineStr">
        <is>
          <t>4.8% under MSRP to match common online pricing for BCW treasury supplies while keeping margin. Ref: https://shopbck.com/bags-boards-1/</t>
        </is>
      </c>
      <c r="V19" s="11" t="n"/>
      <c r="W19" s="11" t="n"/>
      <c r="X19" s="11" t="n"/>
      <c r="Y19" s="11" t="n"/>
      <c r="Z19" s="11" t="n"/>
    </row>
    <row r="20" ht="84.95" customHeight="1">
      <c r="B20" s="6" t="inlineStr">
        <is>
          <t>1-CUR-M2</t>
        </is>
      </c>
      <c r="C20" s="6" t="inlineStr">
        <is>
          <t>Current | Modern Comic Mylar Archivals - 2 MIL</t>
        </is>
      </c>
      <c r="D20" s="7" t="n">
        <v>722626903038</v>
      </c>
      <c r="E20" s="6" t="inlineStr">
        <is>
          <t>Plastic: Mylar</t>
        </is>
      </c>
      <c r="F20" s="6" t="inlineStr">
        <is>
          <t>MDM-BAG-CUR-2M</t>
        </is>
      </c>
      <c r="G20" s="6" t="inlineStr">
        <is>
          <t>Comic Book Bags</t>
        </is>
      </c>
      <c r="H20" s="12" t="inlineStr">
        <is>
          <t>Made of Archival Polyester (Mylar)
Fits standard Current Comic Books
2 mil material thickness
1 ½" flap for closure
50 Bags per Pack</t>
        </is>
      </c>
      <c r="I20" s="6" t="n"/>
      <c r="J20" s="6" t="inlineStr">
        <is>
          <t>7" x 10 ½"</t>
        </is>
      </c>
      <c r="K20" s="6" t="inlineStr">
        <is>
          <t>.89 lbs</t>
        </is>
      </c>
      <c r="L20" s="10" t="n">
        <v>15.12</v>
      </c>
      <c r="M20" s="10" t="n">
        <v>26.99</v>
      </c>
      <c r="N20" s="10" t="n">
        <v>25.49</v>
      </c>
      <c r="O20" s="7" t="n">
        <v>722626218705</v>
      </c>
      <c r="P20" s="6" t="inlineStr">
        <is>
          <t>10 PACKS/CASE</t>
        </is>
      </c>
      <c r="Q20" s="6" t="inlineStr">
        <is>
          <t>9.9 lbs</t>
        </is>
      </c>
      <c r="R20" s="10">
        <f>10*13.44</f>
        <v/>
      </c>
      <c r="S20" s="11" t="n"/>
      <c r="T20" s="13" t="inlineStr">
        <is>
          <t>https://www.bcwsupplies.com/current-comic-book-mylar-bag-2-mil</t>
        </is>
      </c>
      <c r="U20" s="13" t="inlineStr">
        <is>
          <t>5.6% under MSRP (Mylar is specialty; modest discount for competitiveness). Ref: https://shopbck.com/bags-boards-1/</t>
        </is>
      </c>
      <c r="V20" s="11" t="n"/>
      <c r="W20" s="11" t="n"/>
      <c r="X20" s="11" t="n"/>
      <c r="Y20" s="11" t="n"/>
      <c r="Z20" s="11" t="n"/>
    </row>
    <row r="21" ht="84.95" customHeight="1">
      <c r="B21" s="6" t="inlineStr">
        <is>
          <t>1-CUR-M4</t>
        </is>
      </c>
      <c r="C21" s="6" t="inlineStr">
        <is>
          <t>Current | Modern Comic Mylar Archivals - 4 MIL</t>
        </is>
      </c>
      <c r="D21" s="7" t="n">
        <v>722626903045</v>
      </c>
      <c r="E21" s="6" t="inlineStr">
        <is>
          <t>Plastic: Mylar</t>
        </is>
      </c>
      <c r="F21" s="6" t="inlineStr">
        <is>
          <t>MDM-BAG-CUR-4M</t>
        </is>
      </c>
      <c r="G21" s="6" t="inlineStr">
        <is>
          <t>Comic Book Bags</t>
        </is>
      </c>
      <c r="H21" s="12" t="inlineStr">
        <is>
          <t>Made of Archival Polyester (Mylar)
Fits standard Current Comic Books
4 mil material thickness
1 ½" flap for closure
25 Bags per Pack</t>
        </is>
      </c>
      <c r="I21" s="6" t="n"/>
      <c r="J21" s="6" t="inlineStr">
        <is>
          <t>7 ¼" x 10 ½"</t>
        </is>
      </c>
      <c r="K21" s="6" t="inlineStr">
        <is>
          <t>.96 lbs</t>
        </is>
      </c>
      <c r="L21" s="10" t="n">
        <v>15.14</v>
      </c>
      <c r="M21" s="10" t="n">
        <v>26.99</v>
      </c>
      <c r="N21" s="10" t="n">
        <v>25.49</v>
      </c>
      <c r="O21" s="7" t="n">
        <v>722626903069</v>
      </c>
      <c r="P21" s="6" t="inlineStr">
        <is>
          <t>10 PACKS/CASE</t>
        </is>
      </c>
      <c r="Q21" s="6" t="inlineStr">
        <is>
          <t>14 lbs</t>
        </is>
      </c>
      <c r="R21" s="10">
        <f>10*13.46</f>
        <v/>
      </c>
      <c r="S21" s="11" t="n"/>
      <c r="T21" s="13" t="inlineStr">
        <is>
          <t>https://www.bcwsupplies.com/current-comic-book-mylar-bag-4-mil</t>
        </is>
      </c>
      <c r="U21" s="13" t="inlineStr">
        <is>
          <t>5.6% under MSRP (Mylar is specialty; modest discount for competitiveness). Ref: https://shopbck.com/bags-boards-1/</t>
        </is>
      </c>
      <c r="V21" s="11" t="n"/>
      <c r="W21" s="11" t="n"/>
      <c r="X21" s="11" t="n"/>
      <c r="Y21" s="11" t="n"/>
      <c r="Z21" s="11" t="n"/>
    </row>
    <row r="22" ht="84.95" customHeight="1">
      <c r="B22" s="6" t="inlineStr">
        <is>
          <t>1-SIL-M2</t>
        </is>
      </c>
      <c r="C22" s="6" t="inlineStr">
        <is>
          <t>Silver | Regular Comic Mylar Archivals - 2 MIL</t>
        </is>
      </c>
      <c r="D22" s="7" t="n">
        <v>722626903236</v>
      </c>
      <c r="E22" s="6" t="inlineStr">
        <is>
          <t>Plastic: Mylar</t>
        </is>
      </c>
      <c r="F22" s="6" t="inlineStr">
        <is>
          <t>MDM-BAG-SLV-2M</t>
        </is>
      </c>
      <c r="G22" s="6" t="inlineStr">
        <is>
          <t>Comic Book Bags</t>
        </is>
      </c>
      <c r="H22" s="12" t="inlineStr">
        <is>
          <t>Made of Archival Polyester (Mylar)
Fits Silver Comic Books
2 mil material thickness
1 ½" flap for closure
50 Bags per Pack</t>
        </is>
      </c>
      <c r="I22" s="6" t="n"/>
      <c r="J22" s="6" t="inlineStr">
        <is>
          <t>7 ¼" x 10 ½"</t>
        </is>
      </c>
      <c r="K22" s="6" t="inlineStr">
        <is>
          <t>.97 lbs</t>
        </is>
      </c>
      <c r="L22" s="10" t="n">
        <v>16.56</v>
      </c>
      <c r="M22" s="10" t="n">
        <v>29.99</v>
      </c>
      <c r="N22" s="10" t="n">
        <v>27.99</v>
      </c>
      <c r="O22" s="7" t="n">
        <v>722626226403</v>
      </c>
      <c r="P22" s="6" t="inlineStr">
        <is>
          <t>10 PACKS/CASE</t>
        </is>
      </c>
      <c r="Q22" s="6" t="inlineStr">
        <is>
          <t>9.7 lbs</t>
        </is>
      </c>
      <c r="R22" s="10">
        <f>10*14.72</f>
        <v/>
      </c>
      <c r="S22" s="11" t="n"/>
      <c r="T22" s="13" t="inlineStr">
        <is>
          <t>https://www.bcwsupplies.com/silver-comic-book-mylar-bag-2-mil</t>
        </is>
      </c>
      <c r="U22" s="13" t="inlineStr">
        <is>
          <t>6.7% under MSRP (Mylar is specialty; modest discount for competitiveness). Ref: https://shopbck.com/bags-boards-1/</t>
        </is>
      </c>
      <c r="V22" s="11" t="n"/>
      <c r="W22" s="11" t="n"/>
      <c r="X22" s="11" t="n"/>
      <c r="Y22" s="11" t="n"/>
      <c r="Z22" s="11" t="n"/>
    </row>
    <row r="23" ht="84.95" customHeight="1">
      <c r="B23" s="6" t="inlineStr">
        <is>
          <t>1-SIL-M4</t>
        </is>
      </c>
      <c r="C23" s="6" t="inlineStr">
        <is>
          <t>Silver | Regular Comic Mylar Archivals - 4 MIL</t>
        </is>
      </c>
      <c r="D23" s="7" t="n">
        <v>722626903243</v>
      </c>
      <c r="E23" s="6" t="inlineStr">
        <is>
          <t>Plastic: Mylar</t>
        </is>
      </c>
      <c r="F23" s="6" t="inlineStr">
        <is>
          <t>MDM-BAG-SLV-4M</t>
        </is>
      </c>
      <c r="G23" s="6" t="inlineStr">
        <is>
          <t>Comic Book Bags</t>
        </is>
      </c>
      <c r="H23" s="12" t="inlineStr">
        <is>
          <t>Made of Archival Polyester (Mylar)
Fits Silver Comic Books
4 mil material thickness
1 ½" flap for closure
25 Bags per Pack</t>
        </is>
      </c>
      <c r="I23" s="6" t="n"/>
      <c r="J23" s="6" t="inlineStr">
        <is>
          <t>7 ½" x 10 ½"</t>
        </is>
      </c>
      <c r="K23" s="6" t="inlineStr">
        <is>
          <t>1.00 lbs</t>
        </is>
      </c>
      <c r="L23" s="10" t="n">
        <v>16.61</v>
      </c>
      <c r="M23" s="10" t="n">
        <v>29.99</v>
      </c>
      <c r="N23" s="10" t="n">
        <v>27.99</v>
      </c>
      <c r="O23" s="7" t="n">
        <v>722626226458</v>
      </c>
      <c r="P23" s="6" t="inlineStr">
        <is>
          <t>10 PACKS/CASE</t>
        </is>
      </c>
      <c r="Q23" s="6" t="inlineStr">
        <is>
          <t>10 lbs</t>
        </is>
      </c>
      <c r="R23" s="10">
        <f>10*14.76</f>
        <v/>
      </c>
      <c r="S23" s="11" t="n"/>
      <c r="T23" s="13" t="inlineStr">
        <is>
          <t>https://www.bcwsupplies.com/silver-comic-book-mylar-bag-4-mil</t>
        </is>
      </c>
      <c r="U23" s="13" t="inlineStr">
        <is>
          <t>6.7% under MSRP (Mylar is specialty; modest discount for competitiveness). Ref: https://shopbck.com/bags-boards-1/</t>
        </is>
      </c>
      <c r="V23" s="11" t="n"/>
      <c r="W23" s="11" t="n"/>
      <c r="X23" s="11" t="n"/>
      <c r="Y23" s="11" t="n"/>
      <c r="Z23" s="11" t="n"/>
    </row>
    <row r="24" ht="84.95" customHeight="1">
      <c r="B24" s="6" t="inlineStr">
        <is>
          <t>1-GOL-M2</t>
        </is>
      </c>
      <c r="C24" s="6" t="inlineStr">
        <is>
          <t>Golden Comic Mylar Archivals - 2 MIL</t>
        </is>
      </c>
      <c r="D24" s="7" t="n">
        <v>722626903281</v>
      </c>
      <c r="E24" s="6" t="inlineStr">
        <is>
          <t>Plastic: Mylar</t>
        </is>
      </c>
      <c r="F24" s="6" t="inlineStr">
        <is>
          <t>MDM-BAG-GLD-2M</t>
        </is>
      </c>
      <c r="G24" s="6" t="inlineStr">
        <is>
          <t>Comic Book Bags</t>
        </is>
      </c>
      <c r="H24" s="12" t="inlineStr">
        <is>
          <t>Made of Archival Polyester (Mylar)
Fits Golden Comic Books
2 mil material thickness
1 ½" flap for closure
50 Bags per Pack</t>
        </is>
      </c>
      <c r="I24" s="6" t="n"/>
      <c r="J24" s="6" t="inlineStr">
        <is>
          <t>8" x 10 ½"</t>
        </is>
      </c>
      <c r="K24" s="6" t="inlineStr">
        <is>
          <t>1.01 lbs</t>
        </is>
      </c>
      <c r="L24" s="10" t="n">
        <v>17.55</v>
      </c>
      <c r="M24" s="10" t="n">
        <v>31.99</v>
      </c>
      <c r="N24" s="10" t="n">
        <v>29.99</v>
      </c>
      <c r="O24" s="7" t="n">
        <v>722626220708</v>
      </c>
      <c r="P24" s="6" t="inlineStr">
        <is>
          <t>10 PACKS/CASE</t>
        </is>
      </c>
      <c r="Q24" s="6" t="inlineStr">
        <is>
          <t>10.1 lbs</t>
        </is>
      </c>
      <c r="R24" s="10">
        <f>10*15.6</f>
        <v/>
      </c>
      <c r="S24" s="11" t="n"/>
      <c r="T24" s="13" t="inlineStr">
        <is>
          <t>https://www.bcwsupplies.com/golden-comic-book-mylar-bags-2-mil</t>
        </is>
      </c>
      <c r="U24" s="13" t="inlineStr">
        <is>
          <t>6.3% under MSRP (Mylar is specialty; modest discount for competitiveness). Ref: https://shopbck.com/bags-boards-1/</t>
        </is>
      </c>
      <c r="V24" s="11" t="n"/>
      <c r="W24" s="11" t="n"/>
      <c r="X24" s="11" t="n"/>
      <c r="Y24" s="11" t="n"/>
      <c r="Z24" s="11" t="n"/>
    </row>
    <row r="25" ht="84.95" customHeight="1">
      <c r="B25" s="6" t="inlineStr">
        <is>
          <t>1-GOL-M4</t>
        </is>
      </c>
      <c r="C25" s="6" t="inlineStr">
        <is>
          <t>Golden Comic Mylar Archivals - 4 MIL</t>
        </is>
      </c>
      <c r="D25" s="7" t="n">
        <v>722626903298</v>
      </c>
      <c r="E25" s="6" t="inlineStr">
        <is>
          <t>Plastic: Mylar</t>
        </is>
      </c>
      <c r="F25" s="6" t="inlineStr">
        <is>
          <t>MDM-BAG-GLD-4M</t>
        </is>
      </c>
      <c r="G25" s="6" t="inlineStr">
        <is>
          <t>Comic Book Bags</t>
        </is>
      </c>
      <c r="H25" s="12" t="inlineStr">
        <is>
          <t>Made of Archival Polyester (Mylar)
Fits Golden Comic Books
4 mil material thickness
1 ½" flap for closure
25 Bags per Pack</t>
        </is>
      </c>
      <c r="I25" s="6" t="n"/>
      <c r="J25" s="6" t="inlineStr">
        <is>
          <t>8 ¼" x 10 ½"</t>
        </is>
      </c>
      <c r="K25" s="6" t="inlineStr">
        <is>
          <t>.89 lbs</t>
        </is>
      </c>
      <c r="L25" s="10" t="n">
        <v>14.85</v>
      </c>
      <c r="M25" s="10" t="n">
        <v>31.99</v>
      </c>
      <c r="N25" s="10" t="n">
        <v>29.99</v>
      </c>
      <c r="O25" s="7" t="n">
        <v>722626220753</v>
      </c>
      <c r="P25" s="6" t="inlineStr">
        <is>
          <t>10 PACKS/CASE</t>
        </is>
      </c>
      <c r="Q25" s="6" t="inlineStr">
        <is>
          <t>10.5 lbs</t>
        </is>
      </c>
      <c r="R25" s="10">
        <f>10*15.66</f>
        <v/>
      </c>
      <c r="S25" s="11" t="n"/>
      <c r="T25" s="13" t="inlineStr">
        <is>
          <t>https://www.bcwsupplies.com/golden-comic-book-mylar-bags-4-mil</t>
        </is>
      </c>
      <c r="U25" s="13" t="inlineStr">
        <is>
          <t>6.3% under MSRP (Mylar is specialty; modest discount for competitiveness). Ref: https://shopbck.com/bags-boards-1/</t>
        </is>
      </c>
      <c r="V25" s="11" t="n"/>
      <c r="W25" s="11" t="n"/>
      <c r="X25" s="11" t="n"/>
      <c r="Y25" s="11" t="n"/>
      <c r="Z25" s="11" t="n"/>
    </row>
    <row r="26" ht="84.95" customHeight="1">
      <c r="B26" s="6" t="inlineStr">
        <is>
          <t>1-GC-M2</t>
        </is>
      </c>
      <c r="C26" s="6" t="inlineStr">
        <is>
          <t>Graded Comic Mylar - 2 MIL</t>
        </is>
      </c>
      <c r="D26" s="7" t="n">
        <v>722626005985</v>
      </c>
      <c r="E26" s="6" t="inlineStr">
        <is>
          <t>Plastic: Mylar</t>
        </is>
      </c>
      <c r="F26" s="6" t="inlineStr">
        <is>
          <t>MDM-BAG-GRD-2M</t>
        </is>
      </c>
      <c r="G26" s="6" t="inlineStr">
        <is>
          <t>Comic Book Bags</t>
        </is>
      </c>
      <c r="H26" s="12" t="inlineStr">
        <is>
          <t>Made of Archival Polyester (Mylar)
Fits CGC Graded Comic Books
2 mil material thickness
1-1/2" flap for closure
25 Bags per Pack</t>
        </is>
      </c>
      <c r="I26" s="6" t="n"/>
      <c r="J26" s="6" t="inlineStr">
        <is>
          <t>9" x 14 ¼"</t>
        </is>
      </c>
      <c r="K26" s="6" t="inlineStr">
        <is>
          <t>1.05 lbs</t>
        </is>
      </c>
      <c r="L26" s="10" t="n">
        <v>17.62</v>
      </c>
      <c r="M26" s="10" t="n">
        <v>26.99</v>
      </c>
      <c r="N26" s="10" t="n">
        <v>26.99</v>
      </c>
      <c r="O26" s="7" t="n">
        <v>722626214721</v>
      </c>
      <c r="P26" s="6" t="inlineStr">
        <is>
          <t>10 PACKS/CASE</t>
        </is>
      </c>
      <c r="Q26" s="6" t="inlineStr">
        <is>
          <t>8.9 lbs</t>
        </is>
      </c>
      <c r="R26" s="10">
        <f>10*13.2</f>
        <v/>
      </c>
      <c r="S26" s="11" t="n"/>
      <c r="T26" s="13" t="inlineStr">
        <is>
          <t>https://www.bcwsupplies.com/graded-comic-book-mylar-bag-2-mil</t>
        </is>
      </c>
      <c r="U26" s="13" t="n"/>
      <c r="V26" s="11" t="n"/>
      <c r="W26" s="11" t="n"/>
      <c r="X26" s="11" t="n"/>
      <c r="Y26" s="11" t="n"/>
      <c r="Z26" s="11" t="n"/>
    </row>
    <row r="27" ht="84.95" customHeight="1">
      <c r="B27" s="6" t="inlineStr">
        <is>
          <t>1-GCSLV-M4</t>
        </is>
      </c>
      <c r="C27" s="6" t="inlineStr">
        <is>
          <t>Graded Comic Mylar Sleeve - 4 MIL</t>
        </is>
      </c>
      <c r="D27" s="7" t="n">
        <v>722626601354</v>
      </c>
      <c r="E27" s="6" t="inlineStr">
        <is>
          <t>Plastic: Mylar</t>
        </is>
      </c>
      <c r="F27" s="6" t="inlineStr">
        <is>
          <t>MDM-BAG-GRD-4M</t>
        </is>
      </c>
      <c r="G27" s="6" t="inlineStr">
        <is>
          <t>Comic Book Bags</t>
        </is>
      </c>
      <c r="H27" s="12" t="inlineStr">
        <is>
          <t>Made of Archival Polyester (Mylar)
Fits Golden Comic Books
4 mil material thickness
1 ½" flap for closure
25 Bags per Pack</t>
        </is>
      </c>
      <c r="I27" s="6" t="n"/>
      <c r="J27" s="6" t="inlineStr">
        <is>
          <t>9" x 14 ½"</t>
        </is>
      </c>
      <c r="K27" s="6" t="inlineStr">
        <is>
          <t>.37 lbs</t>
        </is>
      </c>
      <c r="L27" s="10" t="n">
        <v>10.31</v>
      </c>
      <c r="M27" s="10" t="n">
        <v>18.99</v>
      </c>
      <c r="N27" s="10" t="n">
        <v>17.99</v>
      </c>
      <c r="O27" s="7" t="n">
        <v>722626201257</v>
      </c>
      <c r="P27" s="6" t="inlineStr">
        <is>
          <t>10 PACKS/CASE</t>
        </is>
      </c>
      <c r="Q27" s="6" t="inlineStr">
        <is>
          <t>8.9 lbs</t>
        </is>
      </c>
      <c r="R27" s="10">
        <f>10*9.16</f>
        <v/>
      </c>
      <c r="S27" s="11" t="n"/>
      <c r="T27" s="13" t="inlineStr">
        <is>
          <t>https://www.bcwsupplies.com/graded-comic-book-mylar-sleeve-4-mil</t>
        </is>
      </c>
      <c r="U27" s="13" t="inlineStr">
        <is>
          <t>5.3% under MSRP (Mylar is specialty; modest discount for competitiveness). Ref: https://shopbck.com/bags-boards-1/</t>
        </is>
      </c>
      <c r="V27" s="11" t="n"/>
      <c r="W27" s="11" t="n"/>
      <c r="X27" s="11" t="n"/>
      <c r="Y27" s="11" t="n"/>
      <c r="Z27" s="11" t="n"/>
    </row>
    <row r="28" ht="45" customHeight="1">
      <c r="B28" s="6" t="inlineStr">
        <is>
          <t>1-BBCUR</t>
        </is>
      </c>
      <c r="C28" s="6" t="inlineStr">
        <is>
          <t>Current Comic Backing Boards</t>
        </is>
      </c>
      <c r="D28" s="7" t="n">
        <v>722626903403</v>
      </c>
      <c r="E28" s="6" t="inlineStr">
        <is>
          <t>Heavy Cardstock</t>
        </is>
      </c>
      <c r="F28" s="6" t="inlineStr">
        <is>
          <t>MDM-BRD-CUR</t>
        </is>
      </c>
      <c r="G28" s="6" t="inlineStr">
        <is>
          <t>Comic Book Boards</t>
        </is>
      </c>
      <c r="H28" s="12" t="inlineStr">
        <is>
          <t>Certified Acid Free - Independent Lab Tested
Use with BCW Current Poly &amp; Mylar Bags
100 Boards per Pack</t>
        </is>
      </c>
      <c r="I28" s="6" t="n"/>
      <c r="J28" s="6" t="inlineStr">
        <is>
          <t>6 ¾" X 10 ½"</t>
        </is>
      </c>
      <c r="K28" s="6" t="inlineStr">
        <is>
          <t>4.30 lbs</t>
        </is>
      </c>
      <c r="L28" s="10" t="n">
        <v>8.33</v>
      </c>
      <c r="M28" s="10" t="n">
        <v>14.99</v>
      </c>
      <c r="N28" s="10" t="n">
        <v>12.99</v>
      </c>
      <c r="O28" s="7" t="n">
        <v>722626216855</v>
      </c>
      <c r="P28" s="6" t="inlineStr">
        <is>
          <t>10 PACKS/CASE</t>
        </is>
      </c>
      <c r="Q28" s="6" t="inlineStr">
        <is>
          <t>43 lbs</t>
        </is>
      </c>
      <c r="R28" s="10">
        <f>10*7.4</f>
        <v/>
      </c>
      <c r="S28" s="11" t="n"/>
      <c r="T28" s="13" t="inlineStr">
        <is>
          <t>https://www.bcwsupplies.com/current-comic-book-backing-boards</t>
        </is>
      </c>
      <c r="U28" s="13" t="inlineStr">
        <is>
          <t>13.3% under MSRP to stay competitive with typical online pricing for BCW bags/boards. Ref: https://shopbck.com/bags-boards-1/</t>
        </is>
      </c>
      <c r="V28" s="11" t="n"/>
      <c r="W28" s="11" t="n"/>
      <c r="X28" s="11" t="n"/>
      <c r="Y28" s="11" t="n"/>
      <c r="Z28" s="11" t="n"/>
    </row>
    <row r="29" ht="45" customHeight="1">
      <c r="B29" s="6" t="inlineStr">
        <is>
          <t>1-BBMOD</t>
        </is>
      </c>
      <c r="C29" s="6" t="inlineStr">
        <is>
          <t>Modern Comic Backing Boards</t>
        </is>
      </c>
      <c r="D29" s="7" t="n">
        <v>722626007903</v>
      </c>
      <c r="E29" s="6" t="inlineStr">
        <is>
          <t>Heavy Cardstock</t>
        </is>
      </c>
      <c r="F29" s="6" t="inlineStr">
        <is>
          <t>MDM-BRD-MOD</t>
        </is>
      </c>
      <c r="G29" s="6" t="inlineStr">
        <is>
          <t>Comic Book Boards</t>
        </is>
      </c>
      <c r="H29" s="12" t="inlineStr">
        <is>
          <t>Certified Acid Free - Independent Lab Tested
Use with BCW Current Poly &amp; Mylar Bags
100 Boards per Pack</t>
        </is>
      </c>
      <c r="I29" s="6" t="n"/>
      <c r="J29" s="6" t="inlineStr">
        <is>
          <t>6 ⅝" X 10 ½"</t>
        </is>
      </c>
      <c r="K29" s="6" t="inlineStr">
        <is>
          <t>4.30 lbs</t>
        </is>
      </c>
      <c r="L29" s="10" t="n">
        <v>8.33</v>
      </c>
      <c r="M29" s="10" t="n">
        <v>14.99</v>
      </c>
      <c r="N29" s="10" t="n">
        <v>12.99</v>
      </c>
      <c r="O29" s="7" t="n">
        <v>722626228520</v>
      </c>
      <c r="P29" s="6" t="inlineStr">
        <is>
          <t>10 PACKS/CASE</t>
        </is>
      </c>
      <c r="Q29" s="6" t="inlineStr">
        <is>
          <t>45.6 lbs</t>
        </is>
      </c>
      <c r="R29" s="10">
        <f>10*7.4</f>
        <v/>
      </c>
      <c r="S29" s="11" t="n"/>
      <c r="T29" s="13" t="inlineStr">
        <is>
          <t>https://www.bcwsupplies.com/modern-comic-book-backing-boards</t>
        </is>
      </c>
      <c r="U29" s="13" t="inlineStr">
        <is>
          <t>13.3% under MSRP to stay competitive with typical online pricing for BCW bags/boards. Ref: https://shopbck.com/bags-boards-1/</t>
        </is>
      </c>
      <c r="V29" s="11" t="n"/>
      <c r="W29" s="11" t="n"/>
      <c r="X29" s="11" t="n"/>
      <c r="Y29" s="11" t="n"/>
      <c r="Z29" s="11" t="n"/>
    </row>
    <row r="30" ht="45" customHeight="1">
      <c r="B30" s="6" t="inlineStr">
        <is>
          <t>1-BBREG</t>
        </is>
      </c>
      <c r="C30" s="6" t="inlineStr">
        <is>
          <t>Regular Comic Backing Boards</t>
        </is>
      </c>
      <c r="D30" s="7" t="n">
        <v>722626007897</v>
      </c>
      <c r="E30" s="6" t="inlineStr">
        <is>
          <t>Heavy Cardstock</t>
        </is>
      </c>
      <c r="F30" s="6" t="inlineStr">
        <is>
          <t>MDM-BRD-REG</t>
        </is>
      </c>
      <c r="G30" s="6" t="inlineStr">
        <is>
          <t>Comic Book Boards</t>
        </is>
      </c>
      <c r="H30" s="12" t="inlineStr">
        <is>
          <t>Certified Acid Free - Independent Lab Tested
Use with BCW Silver Poly &amp; Mylar Bags
100 Boards per Pack</t>
        </is>
      </c>
      <c r="I30" s="6" t="n"/>
      <c r="J30" s="6" t="inlineStr">
        <is>
          <t>6 ⅞" X 10 ½"</t>
        </is>
      </c>
      <c r="K30" s="6" t="inlineStr">
        <is>
          <t>4.30 lbs</t>
        </is>
      </c>
      <c r="L30" s="10" t="n">
        <v>8.66</v>
      </c>
      <c r="M30" s="10" t="n">
        <v>15.99</v>
      </c>
      <c r="N30" s="10" t="n">
        <v>13.99</v>
      </c>
      <c r="O30" s="7" t="n">
        <v>722626228513</v>
      </c>
      <c r="P30" s="6" t="inlineStr">
        <is>
          <t>10 PACKS/CASE</t>
        </is>
      </c>
      <c r="Q30" s="6" t="inlineStr">
        <is>
          <t>44 lbs</t>
        </is>
      </c>
      <c r="R30" s="10">
        <f>10*7.7</f>
        <v/>
      </c>
      <c r="S30" s="11" t="n"/>
      <c r="T30" s="13" t="inlineStr">
        <is>
          <t>https://www.bcwsupplies.com/regular-backing-boards</t>
        </is>
      </c>
      <c r="U30" s="13" t="inlineStr">
        <is>
          <t>12.5% under MSRP to stay competitive with typical online pricing for BCW bags/boards. Ref: https://shopbck.com/bags-boards-1/</t>
        </is>
      </c>
      <c r="V30" s="11" t="n"/>
      <c r="W30" s="11" t="n"/>
      <c r="X30" s="11" t="n"/>
      <c r="Y30" s="11" t="n"/>
      <c r="Z30" s="11" t="n"/>
    </row>
    <row r="31" ht="45" customHeight="1">
      <c r="B31" s="6" t="inlineStr">
        <is>
          <t>1-BBSIL</t>
        </is>
      </c>
      <c r="C31" s="6" t="inlineStr">
        <is>
          <t>Silver Comic Backing Boards</t>
        </is>
      </c>
      <c r="D31" s="7" t="n">
        <v>722626903601</v>
      </c>
      <c r="E31" s="6" t="inlineStr">
        <is>
          <t>Heavy Cardstock</t>
        </is>
      </c>
      <c r="F31" s="6" t="inlineStr">
        <is>
          <t>MDM-BRD-SLV</t>
        </is>
      </c>
      <c r="G31" s="6" t="inlineStr">
        <is>
          <t>Comic Book Boards</t>
        </is>
      </c>
      <c r="H31" s="12" t="inlineStr">
        <is>
          <t>Certified Acid Free - Independent Lab Tested
Use with BCW Silver Poly &amp; Mylar Bags
100 Boards per Pack</t>
        </is>
      </c>
      <c r="I31" s="6" t="n"/>
      <c r="J31" s="6" t="inlineStr">
        <is>
          <t>7" X 10 ½"</t>
        </is>
      </c>
      <c r="K31" s="6" t="inlineStr">
        <is>
          <t>4.30 lbs</t>
        </is>
      </c>
      <c r="L31" s="10" t="n">
        <v>8.66</v>
      </c>
      <c r="M31" s="10" t="n">
        <v>15.99</v>
      </c>
      <c r="N31" s="10" t="n">
        <v>13.99</v>
      </c>
      <c r="O31" s="7" t="n">
        <v>722626217050</v>
      </c>
      <c r="P31" s="6" t="inlineStr">
        <is>
          <t>10 PACKS/CASE</t>
        </is>
      </c>
      <c r="Q31" s="6" t="inlineStr">
        <is>
          <t>43 lbs</t>
        </is>
      </c>
      <c r="R31" s="10">
        <f>10*7.7</f>
        <v/>
      </c>
      <c r="S31" s="11" t="n"/>
      <c r="T31" s="13" t="inlineStr">
        <is>
          <t>https://www.bcwsupplies.com/silver-comic-book-backing-boards</t>
        </is>
      </c>
      <c r="U31" s="13" t="inlineStr">
        <is>
          <t>12.5% under MSRP to stay competitive with typical online pricing for BCW bags/boards. Ref: https://shopbck.com/bags-boards-1/</t>
        </is>
      </c>
      <c r="V31" s="11" t="n"/>
      <c r="W31" s="11" t="n"/>
      <c r="X31" s="11" t="n"/>
      <c r="Y31" s="11" t="n"/>
      <c r="Z31" s="11" t="n"/>
    </row>
    <row r="32" ht="45" customHeight="1">
      <c r="B32" s="6" t="inlineStr">
        <is>
          <t>1-BBGOL</t>
        </is>
      </c>
      <c r="C32" s="6" t="inlineStr">
        <is>
          <t>Golden Comic Backing Boards</t>
        </is>
      </c>
      <c r="D32" s="7" t="n">
        <v>722626903656</v>
      </c>
      <c r="E32" s="6" t="inlineStr">
        <is>
          <t>Heavy Cardstock</t>
        </is>
      </c>
      <c r="F32" s="6" t="inlineStr">
        <is>
          <t>MDM-BRD-GLD</t>
        </is>
      </c>
      <c r="G32" s="6" t="inlineStr">
        <is>
          <t>Comic Book Boards</t>
        </is>
      </c>
      <c r="H32" s="12" t="inlineStr">
        <is>
          <t>Certified Acid Free - Independent Lab Tested
Use with BCW Golden Poly &amp; Mylar Bags
100 Boards per Pack</t>
        </is>
      </c>
      <c r="I32" s="6" t="n"/>
      <c r="J32" s="6" t="inlineStr">
        <is>
          <t>7 ½" X 10 ½"</t>
        </is>
      </c>
      <c r="K32" s="6" t="inlineStr">
        <is>
          <t>4.65 lbs</t>
        </is>
      </c>
      <c r="L32" s="10" t="n">
        <v>8.98</v>
      </c>
      <c r="M32" s="10" t="n">
        <v>16.99</v>
      </c>
      <c r="N32" s="10" t="n">
        <v>14.49</v>
      </c>
      <c r="O32" s="7" t="n">
        <v>722626213090</v>
      </c>
      <c r="P32" s="6" t="inlineStr">
        <is>
          <t>10 PACKS/CASE</t>
        </is>
      </c>
      <c r="Q32" s="6" t="inlineStr">
        <is>
          <t>46.5 lbs</t>
        </is>
      </c>
      <c r="R32" s="10">
        <f>10*7.98</f>
        <v/>
      </c>
      <c r="S32" s="11" t="n"/>
      <c r="T32" s="13" t="inlineStr">
        <is>
          <t>https://www.bcwsupplies.com/golden-comic-book-backing-boards</t>
        </is>
      </c>
      <c r="U32" s="13" t="inlineStr">
        <is>
          <t>14.7% under MSRP to stay competitive with typical online pricing for BCW bags/boards. Ref: https://shopbck.com/bags-boards-1/</t>
        </is>
      </c>
      <c r="V32" s="11" t="n"/>
      <c r="W32" s="11" t="n"/>
      <c r="X32" s="11" t="n"/>
      <c r="Y32" s="11" t="n"/>
      <c r="Z32" s="11" t="n"/>
    </row>
    <row r="33" ht="75" customHeight="1">
      <c r="B33" s="6" t="inlineStr">
        <is>
          <t>1-BBTB</t>
        </is>
      </c>
      <c r="C33" s="6" t="inlineStr">
        <is>
          <t>Treasury Backing Boards</t>
        </is>
      </c>
      <c r="D33" s="7" t="n">
        <v>722626903540</v>
      </c>
      <c r="E33" s="6" t="inlineStr">
        <is>
          <t>Heavy Cardstock</t>
        </is>
      </c>
      <c r="F33" s="6" t="inlineStr">
        <is>
          <t>MDM-BRD-TRS</t>
        </is>
      </c>
      <c r="G33" s="6" t="inlineStr">
        <is>
          <t>Comic Book Boards</t>
        </is>
      </c>
      <c r="H33" s="12" t="inlineStr">
        <is>
          <t>Certified Acid Free - Independent Lab Tested FOR
Fits treasury-sized comic books
Durable 24-point solid bleached sulfate construction
Use with BCW Treasury Comic Bags
100 Boards per Pack</t>
        </is>
      </c>
      <c r="I33" s="6" t="n"/>
      <c r="J33" s="6" t="inlineStr">
        <is>
          <t>10 ¼" x 13 ½"</t>
        </is>
      </c>
      <c r="K33" s="6" t="inlineStr">
        <is>
          <t>7.90 lbs</t>
        </is>
      </c>
      <c r="L33" s="10" t="n">
        <v>17.62</v>
      </c>
      <c r="M33" s="10" t="n">
        <v>31.99</v>
      </c>
      <c r="N33" s="10" t="n">
        <v>28.49</v>
      </c>
      <c r="O33" s="7" t="n">
        <v>722626217104</v>
      </c>
      <c r="P33" s="6" t="inlineStr">
        <is>
          <t>5 PACKS/CASE</t>
        </is>
      </c>
      <c r="Q33" s="6" t="inlineStr">
        <is>
          <t>39.5 lbs</t>
        </is>
      </c>
      <c r="R33" s="10">
        <f>10*15.66</f>
        <v/>
      </c>
      <c r="S33" s="11" t="n"/>
      <c r="T33" s="13" t="inlineStr">
        <is>
          <t>https://www.bcwsupplies.com/treasury-comic-book-backing-boards</t>
        </is>
      </c>
      <c r="U33" s="13" t="inlineStr">
        <is>
          <t>10.9% under MSRP to stay competitive with typical online pricing for BCW bags/boards. Ref: https://shopbck.com/bags-boards-1/</t>
        </is>
      </c>
      <c r="V33" s="11" t="n"/>
      <c r="W33" s="11" t="n"/>
      <c r="X33" s="11" t="n"/>
      <c r="Y33" s="11" t="n"/>
      <c r="Z33" s="11" t="n"/>
    </row>
    <row r="34" ht="75" customHeight="1">
      <c r="B34" s="6" t="inlineStr">
        <is>
          <t>1-CD-BLK</t>
        </is>
      </c>
      <c r="C34" s="6" t="inlineStr">
        <is>
          <t>Comic Book Dividers - Black</t>
        </is>
      </c>
      <c r="D34" s="7" t="n">
        <v>722626007286</v>
      </c>
      <c r="E34" s="6" t="inlineStr">
        <is>
          <t>Plastic: Polypropylene</t>
        </is>
      </c>
      <c r="F34" s="6" t="inlineStr">
        <is>
          <t>MDM-DIV-BLK</t>
        </is>
      </c>
      <c r="G34" s="6" t="inlineStr">
        <is>
          <t>Comic Book Dividers</t>
        </is>
      </c>
      <c r="H34" s="12" t="inlineStr">
        <is>
          <t>Easily visible inside comic boxes
Write-on index tab
Tab folds over to fit under box lid
Acid Free, Archival Quality
25 Dividers per Pack</t>
        </is>
      </c>
      <c r="I34" s="6" t="n"/>
      <c r="J34" s="6" t="inlineStr">
        <is>
          <t>7 ¼" X 11 ¼"</t>
        </is>
      </c>
      <c r="K34" s="6" t="inlineStr">
        <is>
          <t>1.98 lbs</t>
        </is>
      </c>
      <c r="L34" s="10" t="n">
        <v>11.39</v>
      </c>
      <c r="M34" s="10" t="n">
        <v>22.99</v>
      </c>
      <c r="N34" s="10" t="n">
        <v>20.49</v>
      </c>
      <c r="O34" s="7" t="n">
        <v>722626216121</v>
      </c>
      <c r="P34" s="6" t="inlineStr">
        <is>
          <t>12 PACKS/CASE</t>
        </is>
      </c>
      <c r="Q34" s="6" t="inlineStr">
        <is>
          <t>25.2 lbs</t>
        </is>
      </c>
      <c r="R34" s="10">
        <f>10*10.12</f>
        <v/>
      </c>
      <c r="S34" s="11" t="n"/>
      <c r="T34" s="13" t="inlineStr">
        <is>
          <t>https://www.bcwsupplies.com/colored-comic-dividers-black</t>
        </is>
      </c>
      <c r="U34" s="13" t="inlineStr">
        <is>
          <t>10.9% under MSRP to stay competitive; dividers often discounted online and via volume pricing. Ref: https://www.bcwsupplies.com/type/dividers</t>
        </is>
      </c>
      <c r="V34" s="11" t="n"/>
      <c r="W34" s="11" t="n"/>
      <c r="X34" s="11" t="n"/>
      <c r="Y34" s="11" t="n"/>
      <c r="Z34" s="11" t="n"/>
    </row>
    <row r="35" ht="75" customHeight="1">
      <c r="B35" s="6" t="inlineStr">
        <is>
          <t>1-CD-WHI</t>
        </is>
      </c>
      <c r="C35" s="6" t="inlineStr">
        <is>
          <t>Comic Book Dividers - White</t>
        </is>
      </c>
      <c r="D35" s="7" t="n">
        <v>722626007316</v>
      </c>
      <c r="E35" s="6" t="inlineStr">
        <is>
          <t>Plastic: Polypropylene</t>
        </is>
      </c>
      <c r="F35" s="6" t="inlineStr">
        <is>
          <t>MDM-DIV-WHT</t>
        </is>
      </c>
      <c r="G35" s="6" t="inlineStr">
        <is>
          <t>Comic Book Dividers</t>
        </is>
      </c>
      <c r="H35" s="12" t="inlineStr">
        <is>
          <t>Easily visible inside comic boxes
Write-on index tab
Tab folds over to fit under box lid
Acid Free, Archival Quality
25 Dividers per Pack</t>
        </is>
      </c>
      <c r="I35" s="6" t="n"/>
      <c r="J35" s="6" t="inlineStr">
        <is>
          <t>7 ¼" X 11 ¼"</t>
        </is>
      </c>
      <c r="K35" s="6" t="inlineStr">
        <is>
          <t>1.98 lbs</t>
        </is>
      </c>
      <c r="L35" s="10" t="n">
        <v>11.39</v>
      </c>
      <c r="M35" s="10" t="n">
        <v>22.99</v>
      </c>
      <c r="N35" s="10" t="n">
        <v>20.49</v>
      </c>
      <c r="O35" s="7" t="n">
        <v>722626216169</v>
      </c>
      <c r="P35" s="6" t="inlineStr">
        <is>
          <t>12 PACKS/CASE</t>
        </is>
      </c>
      <c r="Q35" s="6" t="inlineStr">
        <is>
          <t>25.2 lbs</t>
        </is>
      </c>
      <c r="R35" s="10">
        <f>10*10.12</f>
        <v/>
      </c>
      <c r="S35" s="11" t="n"/>
      <c r="T35" s="13" t="inlineStr">
        <is>
          <t>https://www.bcwsupplies.com/colored-comic-dividers-white</t>
        </is>
      </c>
      <c r="U35" s="13" t="inlineStr">
        <is>
          <t>10.9% under MSRP to stay competitive; dividers often discounted online and via volume pricing. Ref: https://www.bcwsupplies.com/type/dividers</t>
        </is>
      </c>
      <c r="V35" s="11" t="n"/>
      <c r="W35" s="11" t="n"/>
      <c r="X35" s="11" t="n"/>
      <c r="Y35" s="11" t="n"/>
      <c r="Z35" s="11" t="n"/>
    </row>
    <row r="36" ht="60" customHeight="1">
      <c r="B36" s="6" t="inlineStr">
        <is>
          <t>1-CBP-BLU</t>
        </is>
      </c>
      <c r="C36" s="6" t="inlineStr">
        <is>
          <t>Comic Book Bin Partitions - Blue</t>
        </is>
      </c>
      <c r="D36" s="7" t="n">
        <v>722626016448</v>
      </c>
      <c r="E36" s="6" t="inlineStr">
        <is>
          <t>Plastic: Polypropylene</t>
        </is>
      </c>
      <c r="F36" s="6" t="inlineStr">
        <is>
          <t>MDM-PRT-BLU</t>
        </is>
      </c>
      <c r="G36" s="6" t="inlineStr">
        <is>
          <t>Comic Book Bin Partitions</t>
        </is>
      </c>
      <c r="H36" s="12" t="inlineStr">
        <is>
          <t>Smooth blue finish
Support your growing stack of comics
Use exclusively with BCW's Short and Long Comic Book Bins
3 Partitions per Pack</t>
        </is>
      </c>
      <c r="I36" s="6" t="n"/>
      <c r="J36" s="6" t="n"/>
      <c r="K36" s="6" t="inlineStr">
        <is>
          <t>.80 lbs</t>
        </is>
      </c>
      <c r="L36" s="10" t="n">
        <v>5.54</v>
      </c>
      <c r="M36" s="10" t="n">
        <v>10.99</v>
      </c>
      <c r="N36" s="10" t="n">
        <v>9.99</v>
      </c>
      <c r="O36" s="7" t="n">
        <v>722626016455</v>
      </c>
      <c r="P36" s="6" t="inlineStr">
        <is>
          <t>20 PACKS/CASE</t>
        </is>
      </c>
      <c r="Q36" s="6" t="inlineStr">
        <is>
          <t>16 lbs</t>
        </is>
      </c>
      <c r="R36" s="10">
        <f>10*4.92</f>
        <v/>
      </c>
      <c r="S36" s="11" t="n"/>
      <c r="T36" s="13" t="inlineStr">
        <is>
          <t>https://www.bcwsupplies.com/comic-bin-partition-blue</t>
        </is>
      </c>
      <c r="U36" s="13" t="inlineStr">
        <is>
          <t>9.1% under MSRP as an add-on accessory; keep pricing sharp to encourage bin attachments. Ref: https://www.bcwsupplies.com/type/dividers</t>
        </is>
      </c>
      <c r="V36" s="11" t="n"/>
      <c r="W36" s="11" t="n"/>
      <c r="X36" s="11" t="n"/>
      <c r="Y36" s="11" t="n"/>
      <c r="Z36" s="11" t="n"/>
    </row>
    <row r="37" ht="75" customHeight="1">
      <c r="B37" s="6" t="inlineStr">
        <is>
          <t>1-CBP-RED</t>
        </is>
      </c>
      <c r="C37" s="6" t="inlineStr">
        <is>
          <t>Comic Book Bin Partitions - Red</t>
        </is>
      </c>
      <c r="D37" s="7" t="n">
        <v>722626018671</v>
      </c>
      <c r="E37" s="6" t="inlineStr">
        <is>
          <t>Plastic: Polypropylene</t>
        </is>
      </c>
      <c r="F37" s="6" t="inlineStr">
        <is>
          <t>MDM-PRT-RED</t>
        </is>
      </c>
      <c r="G37" s="6" t="inlineStr">
        <is>
          <t>Comic Book Bin Partitions</t>
        </is>
      </c>
      <c r="H37" s="12" t="inlineStr">
        <is>
          <t>Smooth red finish
Support your growing stack of comics
Use exclusively with BCW's Short and Long Comic Book Bins
3 Partitions per Pack</t>
        </is>
      </c>
      <c r="I37" s="6" t="n"/>
      <c r="J37" s="6" t="n"/>
      <c r="K37" s="6" t="inlineStr">
        <is>
          <t>.80 lbs</t>
        </is>
      </c>
      <c r="L37" s="10" t="n">
        <v>5.54</v>
      </c>
      <c r="M37" s="10" t="n">
        <v>10.99</v>
      </c>
      <c r="N37" s="10" t="n">
        <v>9.99</v>
      </c>
      <c r="O37" s="7" t="n">
        <v>722626018688</v>
      </c>
      <c r="P37" s="6" t="inlineStr">
        <is>
          <t>20 PACKS/CASE</t>
        </is>
      </c>
      <c r="Q37" s="6" t="inlineStr">
        <is>
          <t>16 lbs</t>
        </is>
      </c>
      <c r="R37" s="10">
        <f>10*4.92</f>
        <v/>
      </c>
      <c r="S37" s="11" t="n"/>
      <c r="T37" s="13" t="inlineStr">
        <is>
          <t>https://www.bcwsupplies.com/comic-bin-partition-red</t>
        </is>
      </c>
      <c r="U37" s="13" t="inlineStr">
        <is>
          <t>9.1% under MSRP as an add-on accessory; keep pricing sharp to encourage bin attachments. Ref: https://www.bcwsupplies.com/type/dividers</t>
        </is>
      </c>
      <c r="V37" s="11" t="n"/>
      <c r="W37" s="11" t="n"/>
      <c r="X37" s="11" t="n"/>
      <c r="Y37" s="11" t="n"/>
      <c r="Z37" s="11" t="n"/>
    </row>
    <row r="38" ht="75" customHeight="1">
      <c r="B38" s="6" t="inlineStr">
        <is>
          <t>1-CBP-GRN</t>
        </is>
      </c>
      <c r="C38" s="6" t="inlineStr">
        <is>
          <t>Comic Book Bin Partitions - Green</t>
        </is>
      </c>
      <c r="D38" s="7" t="n">
        <v>722626038051</v>
      </c>
      <c r="E38" s="6" t="inlineStr">
        <is>
          <t>Plastic: Polypropylene</t>
        </is>
      </c>
      <c r="F38" s="6" t="inlineStr">
        <is>
          <t>MDM-PRT-GRN</t>
        </is>
      </c>
      <c r="G38" s="6" t="inlineStr">
        <is>
          <t>Comic Book Bin Partitions</t>
        </is>
      </c>
      <c r="H38" s="12" t="inlineStr">
        <is>
          <t>Smooth red finish
Support your growing stack of comics
Use exclusively with BCW's Short and Long Comic Book Bins
3 Partitions per Pack</t>
        </is>
      </c>
      <c r="I38" s="6" t="n"/>
      <c r="J38" s="6" t="n"/>
      <c r="K38" s="6" t="inlineStr">
        <is>
          <t>.80 lbs</t>
        </is>
      </c>
      <c r="L38" s="10" t="n">
        <v>5.54</v>
      </c>
      <c r="M38" s="10" t="n">
        <v>10.99</v>
      </c>
      <c r="N38" s="10" t="n">
        <v>9.99</v>
      </c>
      <c r="O38" s="7" t="n">
        <v>722626038235</v>
      </c>
      <c r="P38" s="6" t="inlineStr">
        <is>
          <t>20 PACKS/CASE</t>
        </is>
      </c>
      <c r="Q38" s="6" t="inlineStr">
        <is>
          <t>16 lbs</t>
        </is>
      </c>
      <c r="R38" s="10">
        <f>10*4.92</f>
        <v/>
      </c>
      <c r="S38" s="11" t="n"/>
      <c r="T38" s="13" t="inlineStr">
        <is>
          <t>https://www.bcwsupplies.com/comic-book-bin-partitions-green</t>
        </is>
      </c>
      <c r="U38" s="13" t="inlineStr">
        <is>
          <t>9.1% under MSRP as an add-on accessory; keep pricing sharp to encourage bin attachments. Ref: https://www.bcwsupplies.com/type/dividers</t>
        </is>
      </c>
      <c r="V38" s="11" t="n"/>
      <c r="W38" s="11" t="n"/>
      <c r="X38" s="11" t="n"/>
      <c r="Y38" s="11" t="n"/>
      <c r="Z38" s="11" t="n"/>
    </row>
    <row r="39" ht="75" customHeight="1">
      <c r="B39" s="6" t="inlineStr">
        <is>
          <t>1-CBP-YLW</t>
        </is>
      </c>
      <c r="C39" s="6" t="inlineStr">
        <is>
          <t>Comic Book Bin Partitions - Yellow</t>
        </is>
      </c>
      <c r="D39" s="7" t="n">
        <v>722626040214</v>
      </c>
      <c r="E39" s="6" t="inlineStr">
        <is>
          <t>Plastic: Polypropylene</t>
        </is>
      </c>
      <c r="F39" s="6" t="inlineStr">
        <is>
          <t>MDM-PRT-YLW</t>
        </is>
      </c>
      <c r="G39" s="6" t="inlineStr">
        <is>
          <t>Comic Book Bin Partitions</t>
        </is>
      </c>
      <c r="H39" s="12" t="inlineStr">
        <is>
          <t>Smooth red finish
Support your growing stack of comics
Use exclusively with BCW's Short and Long Comic Book Bins
3 Partitions per Pack</t>
        </is>
      </c>
      <c r="I39" s="6" t="n"/>
      <c r="J39" s="6" t="n"/>
      <c r="K39" s="6" t="inlineStr">
        <is>
          <t>.80 lbs</t>
        </is>
      </c>
      <c r="L39" s="10" t="n">
        <v>5.54</v>
      </c>
      <c r="M39" s="10" t="n">
        <v>10.99</v>
      </c>
      <c r="N39" s="10" t="n">
        <v>9.99</v>
      </c>
      <c r="O39" s="7" t="n">
        <v>722626040276</v>
      </c>
      <c r="P39" s="6" t="inlineStr">
        <is>
          <t>20 PACKS/CASE</t>
        </is>
      </c>
      <c r="Q39" s="6" t="inlineStr">
        <is>
          <t>16 lbs</t>
        </is>
      </c>
      <c r="R39" s="10">
        <f>10*4.92</f>
        <v/>
      </c>
      <c r="S39" s="11" t="n"/>
      <c r="T39" s="13" t="inlineStr">
        <is>
          <t>https://www.bcwsupplies.com/comic-book-bin-partitions-yellow</t>
        </is>
      </c>
      <c r="U39" s="13" t="inlineStr">
        <is>
          <t>9.1% under MSRP as an add-on accessory; keep pricing sharp to encourage bin attachments. Ref: https://www.bcwsupplies.com/type/dividers</t>
        </is>
      </c>
      <c r="V39" s="11" t="n"/>
      <c r="W39" s="11" t="n"/>
      <c r="X39" s="11" t="n"/>
      <c r="Y39" s="11" t="n"/>
      <c r="Z39" s="11" t="n"/>
    </row>
    <row r="40" ht="60" customHeight="1">
      <c r="B40" s="6" t="inlineStr">
        <is>
          <t>1-CBP-BLK</t>
        </is>
      </c>
      <c r="C40" s="6" t="inlineStr">
        <is>
          <t>Comic Book Bin Partitions - Black</t>
        </is>
      </c>
      <c r="D40" s="7" t="n">
        <v>722626008382</v>
      </c>
      <c r="E40" s="6" t="inlineStr">
        <is>
          <t>Plastic: Polypropylene</t>
        </is>
      </c>
      <c r="F40" s="6" t="inlineStr">
        <is>
          <t>MDM-PRT-BLK</t>
        </is>
      </c>
      <c r="G40" s="6" t="inlineStr">
        <is>
          <t>Comic Book Bin Partitions</t>
        </is>
      </c>
      <c r="H40" s="12" t="inlineStr">
        <is>
          <t>Smooth red finish
Support your growing stack of comics
Use exclusively with BCW's Short and Long Comic Book Bins
3 Partitions per Pack</t>
        </is>
      </c>
      <c r="I40" s="6" t="n"/>
      <c r="J40" s="6" t="n"/>
      <c r="K40" s="6" t="inlineStr">
        <is>
          <t>.80 lbs</t>
        </is>
      </c>
      <c r="L40" s="10" t="n">
        <v>5.54</v>
      </c>
      <c r="M40" s="10" t="n">
        <v>10.99</v>
      </c>
      <c r="N40" s="10" t="n">
        <v>9.99</v>
      </c>
      <c r="O40" s="7" t="n">
        <v>722626229046</v>
      </c>
      <c r="P40" s="6" t="inlineStr">
        <is>
          <t>20 PACKS/CASE</t>
        </is>
      </c>
      <c r="Q40" s="6" t="inlineStr">
        <is>
          <t>16 lbs</t>
        </is>
      </c>
      <c r="R40" s="10">
        <f>10*4.92</f>
        <v/>
      </c>
      <c r="S40" s="11" t="n"/>
      <c r="T40" s="13" t="inlineStr">
        <is>
          <t>https://www.bcwsupplies.com/comic-bin-partition-black</t>
        </is>
      </c>
      <c r="U40" s="13" t="inlineStr">
        <is>
          <t>9.1% under MSRP as an add-on accessory; keep pricing sharp to encourage bin attachments. Ref: https://www.bcwsupplies.com/type/dividers</t>
        </is>
      </c>
      <c r="V40" s="11" t="n"/>
      <c r="W40" s="11" t="n"/>
      <c r="X40" s="11" t="n"/>
      <c r="Y40" s="11" t="n"/>
      <c r="Z40" s="11" t="n"/>
    </row>
    <row r="41">
      <c r="B41" s="1" t="n"/>
      <c r="C41" s="1" t="n"/>
      <c r="D41" s="3" t="n"/>
      <c r="E41" s="1" t="n"/>
      <c r="F41" s="1" t="n"/>
      <c r="G41" s="1" t="n"/>
      <c r="H41" s="5" t="n"/>
      <c r="I41" s="1" t="n"/>
      <c r="J41" s="1" t="n"/>
      <c r="K41" s="1" t="n"/>
      <c r="L41" s="4" t="n"/>
      <c r="M41" s="4" t="n"/>
      <c r="N41" s="4" t="n"/>
      <c r="O41" s="3" t="n"/>
      <c r="P41" s="1" t="n"/>
      <c r="Q41" s="1" t="n"/>
      <c r="R41" s="4" t="n"/>
    </row>
    <row r="42">
      <c r="B42" s="1" t="n"/>
      <c r="C42" s="1" t="n"/>
      <c r="D42" s="3" t="n"/>
      <c r="E42" s="1" t="n"/>
      <c r="F42" s="1" t="n"/>
      <c r="G42" s="1" t="n"/>
      <c r="H42" s="5" t="n"/>
      <c r="I42" s="1" t="n"/>
      <c r="J42" s="1" t="n"/>
      <c r="K42" s="1" t="n"/>
      <c r="L42" s="4" t="n"/>
      <c r="M42" s="4" t="n"/>
      <c r="N42" s="4" t="n"/>
      <c r="O42" s="3" t="n"/>
      <c r="P42" s="1" t="n"/>
      <c r="Q42" s="1" t="n"/>
      <c r="R42" s="4" t="n"/>
    </row>
    <row r="43">
      <c r="B43" s="1" t="n"/>
      <c r="C43" s="1" t="n"/>
      <c r="D43" s="3" t="n"/>
      <c r="E43" s="1" t="n"/>
      <c r="F43" s="1" t="n"/>
      <c r="G43" s="1" t="n"/>
      <c r="H43" s="5" t="n"/>
      <c r="I43" s="1" t="n"/>
      <c r="J43" s="1" t="n"/>
      <c r="K43" s="1" t="n"/>
      <c r="L43" s="4" t="n"/>
      <c r="M43" s="4" t="n"/>
      <c r="N43" s="4" t="n"/>
      <c r="O43" s="3" t="n"/>
      <c r="P43" s="1" t="n"/>
      <c r="Q43" s="1" t="n"/>
      <c r="R43" s="4" t="n"/>
    </row>
    <row r="44">
      <c r="B44" s="1" t="n"/>
      <c r="C44" s="1" t="n"/>
      <c r="D44" s="3" t="n"/>
      <c r="E44" s="1" t="n"/>
      <c r="F44" s="1" t="n"/>
      <c r="G44" s="1" t="n"/>
      <c r="H44" s="5" t="n"/>
      <c r="I44" s="1" t="n"/>
      <c r="J44" s="1" t="n"/>
      <c r="K44" s="1" t="n"/>
      <c r="L44" s="4" t="n"/>
      <c r="M44" s="4" t="n"/>
      <c r="N44" s="4" t="n"/>
      <c r="O44" s="3" t="n"/>
      <c r="P44" s="1" t="n"/>
      <c r="Q44" s="1" t="n"/>
      <c r="R44" s="4" t="n"/>
    </row>
    <row r="45">
      <c r="B45" s="1" t="n"/>
      <c r="C45" s="1" t="n"/>
      <c r="D45" s="3" t="n"/>
      <c r="E45" s="1" t="n"/>
      <c r="F45" s="1" t="n"/>
      <c r="G45" s="1" t="n"/>
      <c r="H45" s="5" t="n"/>
      <c r="I45" s="1" t="n"/>
      <c r="J45" s="1" t="n"/>
      <c r="K45" s="1" t="n"/>
      <c r="L45" s="4" t="n"/>
      <c r="M45" s="4" t="n"/>
      <c r="N45" s="4" t="n"/>
      <c r="O45" s="3" t="n"/>
      <c r="P45" s="1" t="n"/>
      <c r="Q45" s="1" t="n"/>
      <c r="R45" s="4" t="n"/>
    </row>
    <row r="46">
      <c r="B46" s="1" t="n"/>
      <c r="C46" s="1" t="n"/>
      <c r="D46" s="3" t="n"/>
      <c r="E46" s="1" t="n"/>
      <c r="F46" s="1" t="n"/>
      <c r="G46" s="1" t="n"/>
      <c r="H46" s="5" t="n"/>
      <c r="I46" s="1" t="n"/>
      <c r="J46" s="1" t="n"/>
      <c r="K46" s="1" t="n"/>
      <c r="L46" s="4" t="n"/>
      <c r="M46" s="4" t="n"/>
      <c r="N46" s="4" t="n"/>
      <c r="O46" s="3" t="n"/>
      <c r="P46" s="1" t="n"/>
      <c r="Q46" s="1" t="n"/>
      <c r="R46" s="4" t="n"/>
    </row>
    <row r="47">
      <c r="B47" s="1" t="n"/>
      <c r="C47" s="1" t="n"/>
      <c r="D47" s="3" t="n"/>
      <c r="E47" s="1" t="n"/>
      <c r="F47" s="1" t="n"/>
      <c r="G47" s="1" t="n"/>
      <c r="H47" s="5" t="n"/>
      <c r="I47" s="1" t="n"/>
      <c r="J47" s="1" t="n"/>
      <c r="K47" s="1" t="n"/>
      <c r="L47" s="4" t="n"/>
      <c r="M47" s="4" t="n"/>
      <c r="N47" s="4" t="n"/>
      <c r="O47" s="3" t="n"/>
      <c r="P47" s="1" t="n"/>
      <c r="Q47" s="1" t="n"/>
      <c r="R47" s="4" t="n"/>
    </row>
    <row r="48">
      <c r="B48" s="1" t="n"/>
      <c r="C48" s="1" t="n"/>
      <c r="D48" s="3" t="n"/>
      <c r="E48" s="1" t="n"/>
      <c r="F48" s="1" t="n"/>
      <c r="G48" s="1" t="n"/>
      <c r="H48" s="5" t="n"/>
      <c r="I48" s="1" t="n"/>
      <c r="J48" s="1" t="n"/>
      <c r="K48" s="1" t="n"/>
      <c r="L48" s="4" t="n"/>
      <c r="M48" s="4" t="n"/>
      <c r="N48" s="4" t="n"/>
      <c r="O48" s="3" t="n"/>
      <c r="P48" s="1" t="n"/>
      <c r="Q48" s="1" t="n"/>
      <c r="R48" s="4" t="n"/>
    </row>
    <row r="49">
      <c r="B49" s="1" t="n"/>
      <c r="C49" s="1" t="n"/>
      <c r="D49" s="3" t="n"/>
      <c r="E49" s="1" t="n"/>
      <c r="F49" s="1" t="n"/>
      <c r="G49" s="1" t="n"/>
      <c r="H49" s="5" t="n"/>
      <c r="I49" s="1" t="n"/>
      <c r="J49" s="1" t="n"/>
      <c r="K49" s="1" t="n"/>
      <c r="L49" s="4" t="n"/>
      <c r="M49" s="4" t="n"/>
      <c r="N49" s="4" t="n"/>
      <c r="O49" s="3" t="n"/>
      <c r="P49" s="1" t="n"/>
      <c r="Q49" s="1" t="n"/>
      <c r="R49" s="4" t="n"/>
    </row>
    <row r="50">
      <c r="B50" s="1" t="n"/>
      <c r="C50" s="1" t="n"/>
      <c r="D50" s="3" t="n"/>
      <c r="E50" s="1" t="n"/>
      <c r="F50" s="1" t="n"/>
      <c r="G50" s="1" t="n"/>
      <c r="H50" s="5" t="n"/>
      <c r="I50" s="1" t="n"/>
      <c r="J50" s="1" t="n"/>
      <c r="K50" s="1" t="n"/>
      <c r="L50" s="4" t="n"/>
      <c r="M50" s="4" t="n"/>
      <c r="N50" s="4" t="n"/>
      <c r="O50" s="3" t="n"/>
      <c r="P50" s="1" t="n"/>
      <c r="Q50" s="1" t="n"/>
      <c r="R50" s="4" t="n"/>
    </row>
    <row r="51">
      <c r="B51" s="1" t="n"/>
      <c r="C51" s="1" t="n"/>
      <c r="D51" s="3" t="n"/>
      <c r="E51" s="1" t="n"/>
      <c r="F51" s="1" t="n"/>
      <c r="G51" s="1" t="n"/>
      <c r="H51" s="5" t="n"/>
      <c r="I51" s="1" t="n"/>
      <c r="J51" s="1" t="n"/>
      <c r="K51" s="1" t="n"/>
      <c r="L51" s="4" t="n"/>
      <c r="M51" s="4" t="n"/>
      <c r="N51" s="4" t="n"/>
      <c r="O51" s="3" t="n"/>
      <c r="P51" s="1" t="n"/>
      <c r="Q51" s="1" t="n"/>
      <c r="R51" s="4" t="n"/>
    </row>
  </sheetData>
  <autoFilter ref="B2:S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JDiGGA357 .</dc:creator>
  <dcterms:created xmlns:dcterms="http://purl.org/dc/terms/" xmlns:xsi="http://www.w3.org/2001/XMLSchema-instance" xsi:type="dcterms:W3CDTF">2025-12-17T04:07:19Z</dcterms:created>
  <dcterms:modified xmlns:dcterms="http://purl.org/dc/terms/" xmlns:xsi="http://www.w3.org/2001/XMLSchema-instance" xsi:type="dcterms:W3CDTF">2025-12-17T21:37:02Z</dcterms:modified>
  <cp:lastModifiedBy>JDiGGA357 .</cp:lastModifiedBy>
</cp:coreProperties>
</file>